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spo ñ alterar" sheetId="1" r:id="rId4"/>
    <sheet state="visible" name="Calendario" sheetId="2" r:id="rId5"/>
    <sheet state="visible" name="calendario impre" sheetId="3" r:id="rId6"/>
  </sheets>
  <definedNames>
    <definedName name="AnoCalendário">'calendario impre'!$K$5</definedName>
    <definedName name="InícioDaSemana">'calendario impre'!$L$5</definedName>
  </definedNames>
  <calcPr/>
</workbook>
</file>

<file path=xl/sharedStrings.xml><?xml version="1.0" encoding="utf-8"?>
<sst xmlns="http://schemas.openxmlformats.org/spreadsheetml/2006/main" count="738" uniqueCount="134">
  <si>
    <t>Data</t>
  </si>
  <si>
    <t>Dia da semana</t>
  </si>
  <si>
    <t>Nome do Evento</t>
  </si>
  <si>
    <t>Local</t>
  </si>
  <si>
    <t>Solicitante</t>
  </si>
  <si>
    <t>Coluna2</t>
  </si>
  <si>
    <t>Coluna1</t>
  </si>
  <si>
    <t>Coluna12</t>
  </si>
  <si>
    <t>Dia</t>
  </si>
  <si>
    <t>Evento 1</t>
  </si>
  <si>
    <t>Evento 2</t>
  </si>
  <si>
    <t>Evento 3</t>
  </si>
  <si>
    <t>Evento 4</t>
  </si>
  <si>
    <t>Reveillon cabeceira</t>
  </si>
  <si>
    <t>SEMPRE REORDENAR AS DATAS PARA O PERFEITO FUNCIONAMENTO</t>
  </si>
  <si>
    <t>12 Dias de Clamor para 12 Meses de Milagres</t>
  </si>
  <si>
    <t>Templo</t>
  </si>
  <si>
    <t>Secretaria do discipulado</t>
  </si>
  <si>
    <t>DO MAIS ANTIGO PARA O MAIS NOVO</t>
  </si>
  <si>
    <t>Outnight</t>
  </si>
  <si>
    <t>A definir</t>
  </si>
  <si>
    <t>Inteensos</t>
  </si>
  <si>
    <t>Culto de homens</t>
  </si>
  <si>
    <t>Metokids</t>
  </si>
  <si>
    <t>SMH</t>
  </si>
  <si>
    <t>Culto missionário</t>
  </si>
  <si>
    <t xml:space="preserve">Futebol </t>
  </si>
  <si>
    <t>Fora das dependências da igreja</t>
  </si>
  <si>
    <t>Culto em Rio Brilhante</t>
  </si>
  <si>
    <t>EBD</t>
  </si>
  <si>
    <t>Retorno da EBD</t>
  </si>
  <si>
    <t>Retorno do Metokids</t>
  </si>
  <si>
    <t>Encontro de Alinhamento das Células</t>
  </si>
  <si>
    <t>Célula</t>
  </si>
  <si>
    <t>Encontro Mensal de Mulheres</t>
  </si>
  <si>
    <t>SMM</t>
  </si>
  <si>
    <t>Vigília</t>
  </si>
  <si>
    <t>Intercessão</t>
  </si>
  <si>
    <t>Sexta cabeceira</t>
  </si>
  <si>
    <t>Quadra</t>
  </si>
  <si>
    <t>Capacitação para os professores</t>
  </si>
  <si>
    <t>Relogio de oração</t>
  </si>
  <si>
    <t>Alinhamento ministerial/EBD</t>
  </si>
  <si>
    <t>Pastoral</t>
  </si>
  <si>
    <t>Cantina prol GE</t>
  </si>
  <si>
    <t>Conferência de carnaval</t>
  </si>
  <si>
    <t>Clam</t>
  </si>
  <si>
    <t>Inteensos pós acamps</t>
  </si>
  <si>
    <t>Divisão de clases EBD</t>
  </si>
  <si>
    <t>Campanha do agasalho</t>
  </si>
  <si>
    <t>Ação Social</t>
  </si>
  <si>
    <t xml:space="preserve">Promoção Multimidia </t>
  </si>
  <si>
    <t>Culto especial dia da mulher</t>
  </si>
  <si>
    <t>Varanda  + jantar</t>
  </si>
  <si>
    <t xml:space="preserve"> (Dia da Mulher)</t>
  </si>
  <si>
    <t>Clamor on line</t>
  </si>
  <si>
    <t xml:space="preserve">Conferência da Família </t>
  </si>
  <si>
    <t>EBD- Metokids</t>
  </si>
  <si>
    <t>Conferência da Família</t>
  </si>
  <si>
    <t>Café da Manha de Páscoa</t>
  </si>
  <si>
    <t>Teatro de Páscoa</t>
  </si>
  <si>
    <t>Dia do Pastor Metodista</t>
  </si>
  <si>
    <t>EBD- SMM - Intercessão</t>
  </si>
  <si>
    <t>Conferência de Discipulado</t>
  </si>
  <si>
    <t>Oficina de chocolate</t>
  </si>
  <si>
    <t>Mães e Filhos</t>
  </si>
  <si>
    <t>Igreja</t>
  </si>
  <si>
    <t>Culto especial dia das mães</t>
  </si>
  <si>
    <t>1º Promoção</t>
  </si>
  <si>
    <t>Patrimonio</t>
  </si>
  <si>
    <t>A definir  doces</t>
  </si>
  <si>
    <t>Clamor 24 horas</t>
  </si>
  <si>
    <t>Veredas</t>
  </si>
  <si>
    <t>Culto especial células</t>
  </si>
  <si>
    <t>Jantar in love</t>
  </si>
  <si>
    <t>SMH - SMM</t>
  </si>
  <si>
    <t>Culto missionário - células</t>
  </si>
  <si>
    <t>Conferência de Louvor - 19h</t>
  </si>
  <si>
    <t>Louvor</t>
  </si>
  <si>
    <t>Conferência de Louvor (9h e 18h)</t>
  </si>
  <si>
    <t>Levantar a Equipe do Reencontro</t>
  </si>
  <si>
    <t>Reunião Reencontro com Deus</t>
  </si>
  <si>
    <t>/comidas tipicas</t>
  </si>
  <si>
    <t>Festival de Inverno</t>
  </si>
  <si>
    <t>Varanda</t>
  </si>
  <si>
    <t>Park games</t>
  </si>
  <si>
    <t>Shopping</t>
  </si>
  <si>
    <t>Conferência de homens</t>
  </si>
  <si>
    <t>Alinhamento das Células</t>
  </si>
  <si>
    <t>Pais e Filhos</t>
  </si>
  <si>
    <t>Formatura/EBD</t>
  </si>
  <si>
    <t>Jantar para os Pais</t>
  </si>
  <si>
    <t>Momento evangelistico</t>
  </si>
  <si>
    <t>Conferência de intercessão</t>
  </si>
  <si>
    <t>Inteensos - metogames</t>
  </si>
  <si>
    <t>Metogames</t>
  </si>
  <si>
    <t>Concílio Local 1 - Eleição Episcopal</t>
  </si>
  <si>
    <t>Vigília reencontro</t>
  </si>
  <si>
    <t>Vigilia reencontro</t>
  </si>
  <si>
    <t>Bazar</t>
  </si>
  <si>
    <t>Cantina Prol GE</t>
  </si>
  <si>
    <t xml:space="preserve">Templo /Dia do Juvenil </t>
  </si>
  <si>
    <t>Jejum 6h</t>
  </si>
  <si>
    <t>Dia da EBD</t>
  </si>
  <si>
    <t>Concilio Distrital</t>
  </si>
  <si>
    <t>Jejum 12h</t>
  </si>
  <si>
    <t>Dia do Secretário</t>
  </si>
  <si>
    <t>Jejum 18h</t>
  </si>
  <si>
    <t>/ Beleza, Saude</t>
  </si>
  <si>
    <t>Dia das Crianças/EBD</t>
  </si>
  <si>
    <t>Pescaria</t>
  </si>
  <si>
    <t>Dia dos professores</t>
  </si>
  <si>
    <t>Reencontro com Deus</t>
  </si>
  <si>
    <t xml:space="preserve">Reencontro com Deus </t>
  </si>
  <si>
    <t>Culto do Bebê</t>
  </si>
  <si>
    <t>Marcha para Jesus</t>
  </si>
  <si>
    <t>Outside</t>
  </si>
  <si>
    <t>Retiro de homens</t>
  </si>
  <si>
    <t>2º Promoção</t>
  </si>
  <si>
    <t>Fire Kids Pais e Filhos.</t>
  </si>
  <si>
    <t>Culto de Ação de Graças</t>
  </si>
  <si>
    <t>Aniversário 42 anos</t>
  </si>
  <si>
    <t>Teatro de Natal</t>
  </si>
  <si>
    <t>Dia da Bíblia</t>
  </si>
  <si>
    <t>Antecipação do Culto</t>
  </si>
  <si>
    <t>Batismo e Confraternização</t>
  </si>
  <si>
    <t>Concílio Local 2</t>
  </si>
  <si>
    <t>Culto de Recepção de Novos Membros</t>
  </si>
  <si>
    <t xml:space="preserve"> </t>
  </si>
  <si>
    <t>CONFIGURAÇÕES DO CALENDÁRIO</t>
  </si>
  <si>
    <t>Ano</t>
  </si>
  <si>
    <t>Início da semana</t>
  </si>
  <si>
    <t>domingo</t>
  </si>
  <si>
    <t>Anotações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</si>
</sst>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dd/mm/yy"/>
    <numFmt numFmtId="166" formatCode="d/m/yy"/>
    <numFmt numFmtId="167" formatCode="d"/>
  </numFmts>
  <fonts count="16">
    <font>
      <sz val="11.0"/>
      <color/>
      <name val="Arial"/>
      <scheme val="minor"/>
    </font>
    <font>
      <sz val="12.0"/>
      <name val="Arial"/>
    </font>
    <font>
      <sz val="11.0"/>
      <color/>
      <name val="Calibri"/>
    </font>
    <font>
      <sz val="12.0"/>
      <color rgb="FFFF0000"/>
      <name val="Arial"/>
    </font>
    <font>
      <b/>
      <sz val="11.0"/>
      <color rgb="FF262626"/>
      <name val="Calibri"/>
    </font>
    <font>
      <b/>
      <sz val="36.0"/>
      <name val="Calibri"/>
    </font>
    <font>
      <b/>
      <sz val="35.0"/>
      <color rgb="FF262626"/>
      <name val="Calibri"/>
    </font>
    <font>
      <b/>
      <sz val="12.0"/>
      <color rgb="FF262626"/>
      <name val="Calibri"/>
    </font>
    <font>
      <b/>
      <sz val="12.0"/>
      <color/>
      <name val="Calibri"/>
    </font>
    <font/>
    <font>
      <b/>
      <sz val="12.0"/>
      <color rgb="FFAEABAB"/>
      <name val="Calibri"/>
    </font>
    <font>
      <b/>
      <sz val="11.0"/>
      <color/>
      <name val="Calibri"/>
    </font>
    <font>
      <b/>
      <sz val="12.0"/>
      <color rgb="FFD0CECE"/>
      <name val="Calibri"/>
    </font>
    <font>
      <b/>
      <sz val="10.0"/>
      <color rgb="FF262626"/>
      <name val="Calibri"/>
    </font>
    <font>
      <b/>
      <sz val="10.0"/>
      <color rgb="FFAEABAB"/>
      <name val="Calibri"/>
    </font>
    <font>
      <b/>
      <sz val="10.0"/>
      <color rgb="FFD0CECE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 style="thick">
        <color rgb="FFA1B8E1"/>
      </bottom>
    </border>
    <border>
      <right/>
      <top/>
      <bottom style="thick">
        <color rgb="FFA1B8E1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DD6EE"/>
      </left>
      <right style="thin">
        <color rgb="FFBDD6EE"/>
      </right>
      <top style="thin">
        <color rgb="FFBDD6EE"/>
      </top>
      <bottom style="thin">
        <color rgb="FFBDD6EE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DD6EE"/>
      </top>
    </border>
    <border>
      <left style="thin">
        <color rgb="FF000000"/>
      </left>
      <right style="thin">
        <color rgb="FF000000"/>
      </right>
      <top style="thin">
        <color rgb="FFC5E0B3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49" xfId="0" applyFont="1" applyNumberForma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166" xfId="0" applyFont="1" applyNumberFormat="1"/>
    <xf borderId="0" fillId="0" fontId="2" numFmtId="0" xfId="0" applyFont="1"/>
    <xf borderId="1" fillId="2" fontId="3" numFmtId="164" xfId="0" applyBorder="1" applyFill="1" applyFont="1" applyNumberFormat="1"/>
    <xf borderId="1" fillId="2" fontId="3" numFmtId="0" xfId="0" applyBorder="1" applyFill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0" fillId="0" fontId="7" numFmtId="0" xfId="0" applyAlignment="1" applyFont="1">
      <alignment horizontal="left" shrinkToFit="0" vertical="center" wrapText="1"/>
    </xf>
    <xf borderId="6" fillId="0" fontId="7" numFmtId="167" xfId="0" applyAlignment="1" applyBorder="1" applyFont="1" applyNumberFormat="1">
      <alignment horizontal="right" shrinkToFit="0" wrapText="1"/>
    </xf>
    <xf borderId="7" fillId="0" fontId="7" numFmtId="167" xfId="0" applyAlignment="1" applyBorder="1" applyFont="1" applyNumberFormat="1">
      <alignment horizontal="right" shrinkToFit="0" wrapText="1"/>
    </xf>
    <xf borderId="8" fillId="0" fontId="4" numFmtId="0" xfId="0" applyAlignment="1" applyBorder="1" applyFont="1">
      <alignment horizontal="center" shrinkToFit="0" vertical="center" wrapText="1"/>
    </xf>
    <xf borderId="9" fillId="0" fontId="10" numFmtId="167" xfId="0" applyAlignment="1" applyBorder="1" applyFont="1" applyNumberFormat="1">
      <alignment horizontal="left" shrinkToFit="0" wrapText="1"/>
    </xf>
    <xf borderId="10" fillId="0" fontId="10" numFmtId="167" xfId="0" applyAlignment="1" applyBorder="1" applyFont="1" applyNumberFormat="1">
      <alignment horizontal="left" shrinkToFit="0" wrapText="1"/>
    </xf>
    <xf borderId="10" fillId="0" fontId="7" numFmtId="167" xfId="0" applyAlignment="1" applyBorder="1" applyFont="1" applyNumberFormat="1">
      <alignment horizontal="left" shrinkToFit="0" wrapText="1"/>
    </xf>
    <xf borderId="8" fillId="0" fontId="4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top" wrapText="1"/>
    </xf>
    <xf borderId="11" fillId="0" fontId="10" numFmtId="167" xfId="0" applyAlignment="1" applyBorder="1" applyFont="1" applyNumberFormat="1">
      <alignment horizontal="left" shrinkToFit="0" wrapText="1"/>
    </xf>
    <xf borderId="11" fillId="0" fontId="7" numFmtId="167" xfId="0" applyAlignment="1" applyBorder="1" applyFont="1" applyNumberFormat="1">
      <alignment horizontal="left" shrinkToFit="0" wrapText="1"/>
    </xf>
    <xf borderId="6" fillId="0" fontId="7" numFmtId="167" xfId="0" applyAlignment="1" applyBorder="1" applyFont="1" applyNumberFormat="1">
      <alignment horizontal="right" shrinkToFit="0" vertical="center" wrapText="1"/>
    </xf>
    <xf borderId="7" fillId="0" fontId="7" numFmtId="167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shrinkToFit="0" vertical="top" wrapText="1"/>
    </xf>
    <xf borderId="9" fillId="0" fontId="7" numFmtId="167" xfId="0" applyAlignment="1" applyBorder="1" applyFont="1" applyNumberFormat="1">
      <alignment horizontal="left" shrinkToFit="0" vertical="center" wrapText="1"/>
    </xf>
    <xf borderId="10" fillId="0" fontId="7" numFmtId="167" xfId="0" applyAlignment="1" applyBorder="1" applyFont="1" applyNumberFormat="1">
      <alignment horizontal="left" shrinkToFit="0" vertical="center" wrapText="1"/>
    </xf>
    <xf borderId="12" fillId="0" fontId="7" numFmtId="167" xfId="0" applyAlignment="1" applyBorder="1" applyFont="1" applyNumberFormat="1">
      <alignment horizontal="left" shrinkToFit="0" vertical="center" wrapText="1"/>
    </xf>
    <xf borderId="11" fillId="0" fontId="7" numFmtId="167" xfId="0" applyAlignment="1" applyBorder="1" applyFont="1" applyNumberFormat="1">
      <alignment horizontal="left" shrinkToFit="0" vertical="center" wrapText="1"/>
    </xf>
    <xf borderId="9" fillId="0" fontId="7" numFmtId="167" xfId="0" applyAlignment="1" applyBorder="1" applyFont="1" applyNumberFormat="1">
      <alignment horizontal="right" shrinkToFit="0" vertical="center" wrapText="1"/>
    </xf>
    <xf borderId="10" fillId="0" fontId="7" numFmtId="167" xfId="0" applyAlignment="1" applyBorder="1" applyFont="1" applyNumberFormat="1">
      <alignment horizontal="righ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13" fillId="0" fontId="9" numFmtId="0" xfId="0" applyBorder="1" applyFont="1"/>
    <xf borderId="14" fillId="0" fontId="9" numFmtId="0" xfId="0" applyBorder="1" applyFont="1"/>
    <xf borderId="9" fillId="0" fontId="12" numFmtId="167" xfId="0" applyAlignment="1" applyBorder="1" applyFont="1" applyNumberFormat="1">
      <alignment horizontal="left" shrinkToFit="0" vertical="center" wrapText="1"/>
    </xf>
    <xf borderId="10" fillId="0" fontId="10" numFmtId="167" xfId="0" applyAlignment="1" applyBorder="1" applyFont="1" applyNumberForma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top" wrapText="1"/>
    </xf>
    <xf borderId="12" fillId="0" fontId="14" numFmtId="0" xfId="0" applyAlignment="1" applyBorder="1" applyFont="1">
      <alignment horizontal="left" shrinkToFit="0" vertical="top" wrapText="1"/>
    </xf>
    <xf borderId="11" fillId="0" fontId="14" numFmtId="0" xfId="0" applyAlignment="1" applyBorder="1" applyFont="1">
      <alignment horizontal="left" shrinkToFit="0" vertical="top" wrapText="1"/>
    </xf>
    <xf borderId="12" fillId="0" fontId="13" numFmtId="0" xfId="0" applyAlignment="1" applyBorder="1" applyFont="1">
      <alignment horizontal="left" shrinkToFit="0" vertical="top" wrapText="1"/>
    </xf>
    <xf borderId="16" fillId="0" fontId="9" numFmtId="0" xfId="0" applyBorder="1" applyFont="1"/>
    <xf borderId="17" fillId="0" fontId="9" numFmtId="0" xfId="0" applyBorder="1" applyFont="1"/>
    <xf borderId="18" fillId="0" fontId="7" numFmtId="167" xfId="0" applyAlignment="1" applyBorder="1" applyFont="1" applyNumberFormat="1">
      <alignment horizontal="right" shrinkToFit="0" wrapText="1"/>
    </xf>
    <xf borderId="10" fillId="0" fontId="12" numFmtId="167" xfId="0" applyAlignment="1" applyBorder="1" applyFont="1" applyNumberFormat="1">
      <alignment horizontal="left" shrinkToFit="0" vertical="center" wrapText="1"/>
    </xf>
    <xf borderId="12" fillId="0" fontId="10" numFmtId="167" xfId="0" applyAlignment="1" applyBorder="1" applyFont="1" applyNumberFormat="1">
      <alignment horizontal="left" shrinkToFit="0" vertical="center" wrapText="1"/>
    </xf>
    <xf borderId="11" fillId="0" fontId="10" numFmtId="167" xfId="0" applyAlignment="1" applyBorder="1" applyFont="1" applyNumberFormat="1">
      <alignment horizontal="left" shrinkToFit="0" vertical="center" wrapText="1"/>
    </xf>
    <xf borderId="15" fillId="0" fontId="9" numFmtId="0" xfId="0" applyBorder="1" applyFont="1"/>
    <xf borderId="11" fillId="0" fontId="15" numFmtId="0" xfId="0" applyAlignment="1" applyBorder="1" applyFont="1">
      <alignment horizontal="left" shrinkToFit="0" vertical="top" wrapText="1"/>
    </xf>
    <xf borderId="19" fillId="0" fontId="7" numFmtId="167" xfId="0" applyAlignment="1" applyBorder="1" applyFont="1" applyNumberFormat="1">
      <alignment horizontal="right" shrinkToFit="0" wrapText="1"/>
    </xf>
    <xf borderId="11" fillId="0" fontId="12" numFmtId="167" xfId="0" applyAlignment="1" applyBorder="1" applyFont="1" applyNumberFormat="1">
      <alignment horizontal="lef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6" fillId="0" fontId="13" numFmtId="0" xfId="0" applyAlignment="1" applyBorder="1" applyFont="1">
      <alignment horizontal="left" shrinkToFit="0" vertical="top" wrapText="1"/>
    </xf>
    <xf borderId="12" fillId="0" fontId="12" numFmtId="167" xfId="0" applyAlignment="1" applyBorder="1" applyFont="1" applyNumberFormat="1">
      <alignment horizontal="left" shrinkToFit="0" vertical="center" wrapText="1"/>
    </xf>
    <xf borderId="12" fillId="0" fontId="15" numFmtId="0" xfId="0" applyAlignment="1" applyBorder="1" applyFont="1">
      <alignment horizontal="left" shrinkToFit="0" vertical="top" wrapText="1"/>
    </xf>
    <xf borderId="14" fillId="0" fontId="7" numFmtId="167" xfId="0" applyAlignment="1" applyBorder="1" applyFont="1" applyNumberFormat="1">
      <alignment horizontal="right" shrinkToFit="0" vertical="center" wrapText="1"/>
    </xf>
    <xf borderId="11" fillId="0" fontId="1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ECECEC"/>
          <bgColor rgb="FFECECEC"/>
        </patternFill>
      </fill>
      <border/>
    </dxf>
    <dxf>
      <font>
        <color rgb="FFAEABAB"/>
      </font>
      <fill>
        <patternFill patternType="none"/>
      </fill>
      <border/>
    </dxf>
  </dxfs>
  <tableStyles count="2">
    <tableStyle count="3" pivot="0" name="traspo ñ alterar-style">
      <tableStyleElement dxfId="1" type="headerRow"/>
      <tableStyleElement dxfId="2" type="firstRowStripe"/>
      <tableStyleElement dxfId="1" type="secondRowStripe"/>
    </tableStyle>
    <tableStyle count="3" pivot="0" name="Calendario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N500" displayName="Table_1" name="Table_1" id="1">
  <tableColumns count="13">
    <tableColumn name="Data" id="1"/>
    <tableColumn name="Dia da semana" id="2"/>
    <tableColumn name="Nome do Evento" id="3"/>
    <tableColumn name="Local" id="4"/>
    <tableColumn name="Solicitante" id="5"/>
    <tableColumn name="Coluna2" id="6"/>
    <tableColumn name="Coluna1" id="7"/>
    <tableColumn name="Coluna12" id="8"/>
    <tableColumn name="Dia" id="9"/>
    <tableColumn name="Evento 1" id="10"/>
    <tableColumn name="Evento 2" id="11"/>
    <tableColumn name="Evento 3" id="12"/>
    <tableColumn name="Evento 4" id="13"/>
  </tableColumns>
  <tableStyleInfo name="traspo ñ alterar-style" showColumnStripes="0" showFirstColumn="1" showLastColumn="1" showRowStripes="1"/>
</table>
</file>

<file path=xl/tables/table2.xml><?xml version="1.0" encoding="utf-8"?>
<table xmlns="http://schemas.openxmlformats.org/spreadsheetml/2006/main" ref="B1:F545" displayName="Table_2" name="Table_2" id="2">
  <tableColumns count="5">
    <tableColumn name="Data" id="1"/>
    <tableColumn name="Dia da semana" id="2"/>
    <tableColumn name="Nome do Evento" id="3"/>
    <tableColumn name="Local" id="4"/>
    <tableColumn name="Solicitante" id="5"/>
  </tableColumns>
  <tableStyleInfo name="Calend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44"/>
    <col customWidth="1" min="2" max="2" width="6.22"/>
    <col customWidth="1" min="3" max="3" width="14.56"/>
    <col customWidth="1" min="4" max="4" width="38.67"/>
    <col customWidth="1" min="5" max="5" width="26.22"/>
    <col customWidth="1" min="6" max="6" width="20.33"/>
    <col customWidth="1" min="7" max="7" width="2.33"/>
    <col customWidth="1" min="8" max="9" width="8.0"/>
    <col customWidth="1" min="10" max="10" width="9.44"/>
    <col customWidth="1" min="11" max="11" width="37.11"/>
    <col customWidth="1" min="12" max="12" width="38.67"/>
    <col customWidth="1" min="13" max="13" width="13.11"/>
    <col customWidth="1" min="14" max="14" width="9.67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>
      <c r="A2" s="1"/>
      <c r="B2" s="8" t="str">
        <f>Calendario!$B2</f>
        <v>31/12</v>
      </c>
      <c r="C2" s="3" t="str">
        <f>Calendario!$C2</f>
        <v>Wednesday</v>
      </c>
      <c r="D2" s="9" t="str">
        <f>Calendario!$D2</f>
        <v>Reveillon cabeceira</v>
      </c>
      <c r="E2" s="5" t="str">
        <f>Calendario!$E2</f>
        <v/>
      </c>
      <c r="F2" s="5" t="str">
        <f>Calendario!$F2</f>
        <v/>
      </c>
      <c r="G2" s="5"/>
      <c r="H2" s="6" t="str">
        <f t="shared" ref="H2:H327" si="1">IF(COUNTIFS($B$2:$B2,B2)=1,1,COUNTIFS($B$2:$B2,B2))</f>
        <v>1</v>
      </c>
      <c r="I2" s="6"/>
      <c r="J2" s="10" t="str">
        <f>'traspo ñ alterar'!$B2</f>
        <v>31/12/25</v>
      </c>
      <c r="K2" s="6" t="str">
        <f t="shared" ref="K2:K500" si="2">IF($H2=1,D2,"")</f>
        <v>Reveillon cabeceira</v>
      </c>
      <c r="L2" s="6" t="str">
        <f t="shared" ref="L2:L327" si="3">IF($H3=2,D3,"")</f>
        <v/>
      </c>
      <c r="M2" s="6" t="str">
        <f t="shared" ref="M2:M326" si="4">IF($H4=3,D4,"")</f>
        <v/>
      </c>
      <c r="N2" s="6" t="str">
        <f t="shared" ref="N2:N500" si="5">IF($H2=1,"MOSTRAR","OCULTAR")</f>
        <v>MOSTRAR</v>
      </c>
    </row>
    <row r="3">
      <c r="A3" s="1"/>
      <c r="B3" s="8" t="str">
        <f>Calendario!$B3</f>
        <v>2/1</v>
      </c>
      <c r="C3" s="3" t="str">
        <f>Calendario!$C3</f>
        <v>Friday</v>
      </c>
      <c r="D3" s="9" t="str">
        <f>Calendario!$D3</f>
        <v>12 Dias de Clamor para 12 Meses de Milagres</v>
      </c>
      <c r="E3" s="5" t="str">
        <f>Calendario!$E3</f>
        <v>Templo</v>
      </c>
      <c r="F3" s="5" t="str">
        <f>Calendario!$F3</f>
        <v>Secretaria do discipulado</v>
      </c>
      <c r="G3" s="5"/>
      <c r="H3" s="6" t="str">
        <f t="shared" si="1"/>
        <v>1</v>
      </c>
      <c r="I3" s="6"/>
      <c r="J3" s="10" t="str">
        <f>'traspo ñ alterar'!$B3</f>
        <v>2/1/26</v>
      </c>
      <c r="K3" s="6" t="str">
        <f t="shared" si="2"/>
        <v>12 Dias de Clamor para 12 Meses de Milagres</v>
      </c>
      <c r="L3" s="6" t="str">
        <f t="shared" si="3"/>
        <v/>
      </c>
      <c r="M3" s="6" t="str">
        <f t="shared" si="4"/>
        <v/>
      </c>
      <c r="N3" s="6" t="str">
        <f t="shared" si="5"/>
        <v>MOSTRAR</v>
      </c>
    </row>
    <row r="4">
      <c r="A4" s="1"/>
      <c r="B4" s="8" t="str">
        <f>Calendario!$B4</f>
        <v>3/1</v>
      </c>
      <c r="C4" s="3" t="str">
        <f>Calendario!$C4</f>
        <v>Saturday</v>
      </c>
      <c r="D4" s="9" t="str">
        <f>Calendario!$D4</f>
        <v>12 Dias de Clamor para 12 Meses de Milagres</v>
      </c>
      <c r="E4" s="5" t="str">
        <f>Calendario!$E4</f>
        <v>Templo</v>
      </c>
      <c r="F4" s="5" t="str">
        <f>Calendario!$F4</f>
        <v>Secretaria do discipulado</v>
      </c>
      <c r="G4" s="5"/>
      <c r="H4" s="6" t="str">
        <f t="shared" si="1"/>
        <v>1</v>
      </c>
      <c r="I4" s="6"/>
      <c r="J4" s="10" t="str">
        <f>'traspo ñ alterar'!$B4</f>
        <v>3/1/26</v>
      </c>
      <c r="K4" s="6" t="str">
        <f t="shared" si="2"/>
        <v>12 Dias de Clamor para 12 Meses de Milagres</v>
      </c>
      <c r="L4" s="6" t="str">
        <f t="shared" si="3"/>
        <v/>
      </c>
      <c r="M4" s="6" t="str">
        <f t="shared" si="4"/>
        <v/>
      </c>
      <c r="N4" s="6" t="str">
        <f t="shared" si="5"/>
        <v>MOSTRAR</v>
      </c>
    </row>
    <row r="5">
      <c r="A5" s="1"/>
      <c r="B5" s="8" t="str">
        <f>Calendario!$B5</f>
        <v>4/1</v>
      </c>
      <c r="C5" s="3" t="str">
        <f>Calendario!$C5</f>
        <v>Sunday</v>
      </c>
      <c r="D5" s="9" t="str">
        <f>Calendario!$D5</f>
        <v>12 Dias de Clamor para 12 Meses de Milagres</v>
      </c>
      <c r="E5" s="5" t="str">
        <f>Calendario!$E5</f>
        <v>Templo</v>
      </c>
      <c r="F5" s="5" t="str">
        <f>Calendario!$F5</f>
        <v>Secretaria do discipulado</v>
      </c>
      <c r="G5" s="5"/>
      <c r="H5" s="6" t="str">
        <f t="shared" si="1"/>
        <v>1</v>
      </c>
      <c r="I5" s="6"/>
      <c r="J5" s="10" t="str">
        <f>'traspo ñ alterar'!$B5</f>
        <v>4/1/26</v>
      </c>
      <c r="K5" s="6" t="str">
        <f t="shared" si="2"/>
        <v>12 Dias de Clamor para 12 Meses de Milagres</v>
      </c>
      <c r="L5" s="6" t="str">
        <f t="shared" si="3"/>
        <v/>
      </c>
      <c r="M5" s="6" t="str">
        <f t="shared" si="4"/>
        <v/>
      </c>
      <c r="N5" s="6" t="str">
        <f t="shared" si="5"/>
        <v>MOSTRAR</v>
      </c>
    </row>
    <row r="6">
      <c r="A6" s="1"/>
      <c r="B6" s="8" t="str">
        <f>Calendario!$B6</f>
        <v>5/1</v>
      </c>
      <c r="C6" s="3" t="str">
        <f>Calendario!$C6</f>
        <v>Monday</v>
      </c>
      <c r="D6" s="9" t="str">
        <f>Calendario!$D6</f>
        <v>12 Dias de Clamor para 12 Meses de Milagres</v>
      </c>
      <c r="E6" s="5" t="str">
        <f>Calendario!$E6</f>
        <v>Templo</v>
      </c>
      <c r="F6" s="5" t="str">
        <f>Calendario!$F6</f>
        <v>Secretaria do discipulado</v>
      </c>
      <c r="G6" s="5"/>
      <c r="H6" s="6" t="str">
        <f t="shared" si="1"/>
        <v>1</v>
      </c>
      <c r="I6" s="6"/>
      <c r="J6" s="10" t="str">
        <f>'traspo ñ alterar'!$B6</f>
        <v>5/1/26</v>
      </c>
      <c r="K6" s="6" t="str">
        <f t="shared" si="2"/>
        <v>12 Dias de Clamor para 12 Meses de Milagres</v>
      </c>
      <c r="L6" s="6" t="str">
        <f t="shared" si="3"/>
        <v/>
      </c>
      <c r="M6" s="6" t="str">
        <f t="shared" si="4"/>
        <v/>
      </c>
      <c r="N6" s="6" t="str">
        <f t="shared" si="5"/>
        <v>MOSTRAR</v>
      </c>
    </row>
    <row r="7">
      <c r="A7" s="1"/>
      <c r="B7" s="8" t="str">
        <f>Calendario!$B7</f>
        <v>6/1</v>
      </c>
      <c r="C7" s="3" t="str">
        <f>Calendario!$C7</f>
        <v>Tuesday</v>
      </c>
      <c r="D7" s="9" t="str">
        <f>Calendario!$D7</f>
        <v>12 Dias de Clamor para 12 Meses de Milagres</v>
      </c>
      <c r="E7" s="5" t="str">
        <f>Calendario!$E7</f>
        <v>Templo</v>
      </c>
      <c r="F7" s="5" t="str">
        <f>Calendario!$F7</f>
        <v>Secretaria do discipulado</v>
      </c>
      <c r="G7" s="5"/>
      <c r="H7" s="6" t="str">
        <f t="shared" si="1"/>
        <v>1</v>
      </c>
      <c r="I7" s="6"/>
      <c r="J7" s="10" t="str">
        <f>'traspo ñ alterar'!$B7</f>
        <v>6/1/26</v>
      </c>
      <c r="K7" s="6" t="str">
        <f t="shared" si="2"/>
        <v>12 Dias de Clamor para 12 Meses de Milagres</v>
      </c>
      <c r="L7" s="6" t="str">
        <f t="shared" si="3"/>
        <v/>
      </c>
      <c r="M7" s="6" t="str">
        <f t="shared" si="4"/>
        <v/>
      </c>
      <c r="N7" s="6" t="str">
        <f t="shared" si="5"/>
        <v>MOSTRAR</v>
      </c>
    </row>
    <row r="8">
      <c r="A8" s="1"/>
      <c r="B8" s="8" t="str">
        <f>Calendario!$B8</f>
        <v>7/1</v>
      </c>
      <c r="C8" s="3" t="str">
        <f>Calendario!$C8</f>
        <v>Wednesday</v>
      </c>
      <c r="D8" s="9" t="str">
        <f>Calendario!$D8</f>
        <v>12 Dias de Clamor para 12 Meses de Milagres</v>
      </c>
      <c r="E8" s="5" t="str">
        <f>Calendario!$E8</f>
        <v>Templo</v>
      </c>
      <c r="F8" s="5" t="str">
        <f>Calendario!$F8</f>
        <v>Secretaria do discipulado</v>
      </c>
      <c r="G8" s="5"/>
      <c r="H8" s="6" t="str">
        <f t="shared" si="1"/>
        <v>1</v>
      </c>
      <c r="I8" s="6"/>
      <c r="J8" s="10" t="str">
        <f>'traspo ñ alterar'!$B8</f>
        <v>7/1/26</v>
      </c>
      <c r="K8" s="6" t="str">
        <f t="shared" si="2"/>
        <v>12 Dias de Clamor para 12 Meses de Milagres</v>
      </c>
      <c r="L8" s="6" t="str">
        <f t="shared" si="3"/>
        <v/>
      </c>
      <c r="M8" s="6" t="str">
        <f t="shared" si="4"/>
        <v/>
      </c>
      <c r="N8" s="6" t="str">
        <f t="shared" si="5"/>
        <v>MOSTRAR</v>
      </c>
    </row>
    <row r="9">
      <c r="A9" s="1"/>
      <c r="B9" s="8" t="str">
        <f>Calendario!$B9</f>
        <v>8/1</v>
      </c>
      <c r="C9" s="3" t="str">
        <f>Calendario!$C9</f>
        <v>Thursday</v>
      </c>
      <c r="D9" s="9" t="str">
        <f>Calendario!$D9</f>
        <v>12 Dias de Clamor para 12 Meses de Milagres</v>
      </c>
      <c r="E9" s="5" t="str">
        <f>Calendario!$E9</f>
        <v>Templo</v>
      </c>
      <c r="F9" s="5" t="str">
        <f>Calendario!$F9</f>
        <v>Secretaria do discipulado</v>
      </c>
      <c r="G9" s="5"/>
      <c r="H9" s="6" t="str">
        <f t="shared" si="1"/>
        <v>1</v>
      </c>
      <c r="I9" s="6"/>
      <c r="J9" s="10" t="str">
        <f>'traspo ñ alterar'!$B9</f>
        <v>8/1/26</v>
      </c>
      <c r="K9" s="6" t="str">
        <f t="shared" si="2"/>
        <v>12 Dias de Clamor para 12 Meses de Milagres</v>
      </c>
      <c r="L9" s="6" t="str">
        <f t="shared" si="3"/>
        <v/>
      </c>
      <c r="M9" s="6" t="str">
        <f t="shared" si="4"/>
        <v/>
      </c>
      <c r="N9" s="6" t="str">
        <f t="shared" si="5"/>
        <v>MOSTRAR</v>
      </c>
    </row>
    <row r="10">
      <c r="A10" s="1"/>
      <c r="B10" s="8" t="str">
        <f>Calendario!$B10</f>
        <v>9/1</v>
      </c>
      <c r="C10" s="3" t="str">
        <f>Calendario!$C10</f>
        <v>Friday</v>
      </c>
      <c r="D10" s="9" t="str">
        <f>Calendario!$D10</f>
        <v>12 Dias de Clamor para 12 Meses de Milagres</v>
      </c>
      <c r="E10" s="5" t="str">
        <f>Calendario!$E10</f>
        <v>Templo</v>
      </c>
      <c r="F10" s="5" t="str">
        <f>Calendario!$F10</f>
        <v>Secretaria do discipulado</v>
      </c>
      <c r="G10" s="5"/>
      <c r="H10" s="6" t="str">
        <f t="shared" si="1"/>
        <v>1</v>
      </c>
      <c r="I10" s="6"/>
      <c r="J10" s="10" t="str">
        <f>'traspo ñ alterar'!$B10</f>
        <v>9/1/26</v>
      </c>
      <c r="K10" s="6" t="str">
        <f t="shared" si="2"/>
        <v>12 Dias de Clamor para 12 Meses de Milagres</v>
      </c>
      <c r="L10" s="6" t="str">
        <f t="shared" si="3"/>
        <v/>
      </c>
      <c r="M10" s="6" t="str">
        <f t="shared" si="4"/>
        <v/>
      </c>
      <c r="N10" s="6" t="str">
        <f t="shared" si="5"/>
        <v>MOSTRAR</v>
      </c>
    </row>
    <row r="11">
      <c r="A11" s="1"/>
      <c r="B11" s="8" t="str">
        <f>Calendario!$B11</f>
        <v>10/1</v>
      </c>
      <c r="C11" s="3" t="str">
        <f>Calendario!$C11</f>
        <v>Saturday</v>
      </c>
      <c r="D11" s="9" t="str">
        <f>Calendario!$D11</f>
        <v>12 Dias de Clamor para 12 Meses de Milagres</v>
      </c>
      <c r="E11" s="5" t="str">
        <f>Calendario!$E11</f>
        <v>Templo</v>
      </c>
      <c r="F11" s="5" t="str">
        <f>Calendario!$F11</f>
        <v>Secretaria do discipulado</v>
      </c>
      <c r="G11" s="5"/>
      <c r="H11" s="6" t="str">
        <f t="shared" si="1"/>
        <v>1</v>
      </c>
      <c r="I11" s="6"/>
      <c r="J11" s="10" t="str">
        <f>'traspo ñ alterar'!$B11</f>
        <v>10/1/26</v>
      </c>
      <c r="K11" s="6" t="str">
        <f t="shared" si="2"/>
        <v>12 Dias de Clamor para 12 Meses de Milagres</v>
      </c>
      <c r="L11" s="6" t="str">
        <f t="shared" si="3"/>
        <v/>
      </c>
      <c r="M11" s="6" t="str">
        <f t="shared" si="4"/>
        <v/>
      </c>
      <c r="N11" s="6" t="str">
        <f t="shared" si="5"/>
        <v>MOSTRAR</v>
      </c>
    </row>
    <row r="12">
      <c r="A12" s="1"/>
      <c r="B12" s="8" t="str">
        <f>Calendario!$B12</f>
        <v>11/1</v>
      </c>
      <c r="C12" s="3" t="str">
        <f>Calendario!$C12</f>
        <v>Sunday</v>
      </c>
      <c r="D12" s="9" t="str">
        <f>Calendario!$D12</f>
        <v>12 Dias de Clamor para 12 Meses de Milagres</v>
      </c>
      <c r="E12" s="5" t="str">
        <f>Calendario!$E12</f>
        <v>Templo</v>
      </c>
      <c r="F12" s="5" t="str">
        <f>Calendario!$F12</f>
        <v>Secretaria do discipulado</v>
      </c>
      <c r="G12" s="5"/>
      <c r="H12" s="6" t="str">
        <f t="shared" si="1"/>
        <v>1</v>
      </c>
      <c r="I12" s="6"/>
      <c r="J12" s="10" t="str">
        <f>'traspo ñ alterar'!$B12</f>
        <v>11/1/26</v>
      </c>
      <c r="K12" s="6" t="str">
        <f t="shared" si="2"/>
        <v>12 Dias de Clamor para 12 Meses de Milagres</v>
      </c>
      <c r="L12" s="6" t="str">
        <f t="shared" si="3"/>
        <v/>
      </c>
      <c r="M12" s="6" t="str">
        <f t="shared" si="4"/>
        <v/>
      </c>
      <c r="N12" s="6" t="str">
        <f t="shared" si="5"/>
        <v>MOSTRAR</v>
      </c>
    </row>
    <row r="13">
      <c r="A13" s="1"/>
      <c r="B13" s="8" t="str">
        <f>Calendario!$B13</f>
        <v>12/1</v>
      </c>
      <c r="C13" s="3" t="str">
        <f>Calendario!$C13</f>
        <v>Monday</v>
      </c>
      <c r="D13" s="9" t="str">
        <f>Calendario!$D13</f>
        <v>12 Dias de Clamor para 12 Meses de Milagres</v>
      </c>
      <c r="E13" s="5" t="str">
        <f>Calendario!$E13</f>
        <v>Templo</v>
      </c>
      <c r="F13" s="5" t="str">
        <f>Calendario!$F13</f>
        <v>Secretaria do discipulado</v>
      </c>
      <c r="G13" s="5"/>
      <c r="H13" s="6" t="str">
        <f t="shared" si="1"/>
        <v>1</v>
      </c>
      <c r="I13" s="6"/>
      <c r="J13" s="10" t="str">
        <f>'traspo ñ alterar'!$B13</f>
        <v>12/1/26</v>
      </c>
      <c r="K13" s="6" t="str">
        <f t="shared" si="2"/>
        <v>12 Dias de Clamor para 12 Meses de Milagres</v>
      </c>
      <c r="L13" s="6" t="str">
        <f t="shared" si="3"/>
        <v/>
      </c>
      <c r="M13" s="6" t="str">
        <f t="shared" si="4"/>
        <v/>
      </c>
      <c r="N13" s="6" t="str">
        <f t="shared" si="5"/>
        <v>MOSTRAR</v>
      </c>
    </row>
    <row r="14">
      <c r="A14" s="1"/>
      <c r="B14" s="8" t="str">
        <f>Calendario!$B14</f>
        <v>13/1</v>
      </c>
      <c r="C14" s="3" t="str">
        <f>Calendario!$C14</f>
        <v>Tuesday</v>
      </c>
      <c r="D14" s="9" t="str">
        <f>Calendario!$D14</f>
        <v>12 Dias de Clamor para 12 Meses de Milagres</v>
      </c>
      <c r="E14" s="5" t="str">
        <f>Calendario!$E14</f>
        <v>Templo</v>
      </c>
      <c r="F14" s="5" t="str">
        <f>Calendario!$F14</f>
        <v>Secretaria do discipulado</v>
      </c>
      <c r="G14" s="5"/>
      <c r="H14" s="6" t="str">
        <f t="shared" si="1"/>
        <v>1</v>
      </c>
      <c r="I14" s="6"/>
      <c r="J14" s="10" t="str">
        <f>'traspo ñ alterar'!$B14</f>
        <v>13/1/26</v>
      </c>
      <c r="K14" s="6" t="str">
        <f t="shared" si="2"/>
        <v>12 Dias de Clamor para 12 Meses de Milagres</v>
      </c>
      <c r="L14" s="6" t="str">
        <f t="shared" si="3"/>
        <v/>
      </c>
      <c r="M14" s="6" t="str">
        <f t="shared" si="4"/>
        <v/>
      </c>
      <c r="N14" s="6" t="str">
        <f t="shared" si="5"/>
        <v>MOSTRAR</v>
      </c>
    </row>
    <row r="15">
      <c r="A15" s="1"/>
      <c r="B15" s="8" t="str">
        <f>Calendario!$B15</f>
        <v>17/1</v>
      </c>
      <c r="C15" s="3" t="str">
        <f>Calendario!$C15</f>
        <v>Saturday</v>
      </c>
      <c r="D15" s="9" t="str">
        <f>Calendario!$D15</f>
        <v>Outnight</v>
      </c>
      <c r="E15" s="5" t="str">
        <f>Calendario!$E15</f>
        <v>A definir</v>
      </c>
      <c r="F15" s="5" t="str">
        <f>Calendario!$F15</f>
        <v>Inteensos</v>
      </c>
      <c r="G15" s="5"/>
      <c r="H15" s="6" t="str">
        <f t="shared" si="1"/>
        <v>1</v>
      </c>
      <c r="I15" s="6"/>
      <c r="J15" s="10" t="str">
        <f>'traspo ñ alterar'!$B15</f>
        <v>17/1/26</v>
      </c>
      <c r="K15" s="6" t="str">
        <f t="shared" si="2"/>
        <v>Outnight</v>
      </c>
      <c r="L15" s="6" t="str">
        <f t="shared" si="3"/>
        <v/>
      </c>
      <c r="M15" s="6" t="str">
        <f t="shared" si="4"/>
        <v/>
      </c>
      <c r="N15" s="6" t="str">
        <f t="shared" si="5"/>
        <v>MOSTRAR</v>
      </c>
    </row>
    <row r="16">
      <c r="A16" s="1"/>
      <c r="B16" s="8" t="str">
        <f>Calendario!$B16</f>
        <v>18/1</v>
      </c>
      <c r="C16" s="3" t="str">
        <f>Calendario!$C16</f>
        <v>Sunday</v>
      </c>
      <c r="D16" s="9" t="str">
        <f>Calendario!$D16</f>
        <v>Outnight</v>
      </c>
      <c r="E16" s="5" t="str">
        <f>Calendario!$E16</f>
        <v>A definir</v>
      </c>
      <c r="F16" s="5" t="str">
        <f>Calendario!$F16</f>
        <v>Inteensos</v>
      </c>
      <c r="G16" s="5"/>
      <c r="H16" s="6" t="str">
        <f t="shared" si="1"/>
        <v>1</v>
      </c>
      <c r="I16" s="6"/>
      <c r="J16" s="10" t="str">
        <f>'traspo ñ alterar'!$B16</f>
        <v>18/1/26</v>
      </c>
      <c r="K16" s="6" t="str">
        <f t="shared" si="2"/>
        <v>Outnight</v>
      </c>
      <c r="L16" s="6" t="str">
        <f t="shared" si="3"/>
        <v/>
      </c>
      <c r="M16" s="6" t="str">
        <f t="shared" si="4"/>
        <v/>
      </c>
      <c r="N16" s="6" t="str">
        <f t="shared" si="5"/>
        <v>MOSTRAR</v>
      </c>
    </row>
    <row r="17">
      <c r="A17" s="1"/>
      <c r="B17" s="8" t="str">
        <f>Calendario!$B17</f>
        <v>22/1</v>
      </c>
      <c r="C17" s="3" t="str">
        <f>Calendario!$C17</f>
        <v>Thursday</v>
      </c>
      <c r="D17" s="9" t="str">
        <f>Calendario!$D17</f>
        <v>Culto de homens</v>
      </c>
      <c r="E17" s="5" t="str">
        <f>Calendario!$E17</f>
        <v>Metokids</v>
      </c>
      <c r="F17" s="5" t="str">
        <f>Calendario!$F17</f>
        <v>SMH</v>
      </c>
      <c r="G17" s="5"/>
      <c r="H17" s="6" t="str">
        <f t="shared" si="1"/>
        <v>1</v>
      </c>
      <c r="I17" s="6"/>
      <c r="J17" s="10" t="str">
        <f>'traspo ñ alterar'!$B17</f>
        <v>22/1/26</v>
      </c>
      <c r="K17" s="6" t="str">
        <f t="shared" si="2"/>
        <v>Culto de homens</v>
      </c>
      <c r="L17" s="6" t="str">
        <f t="shared" si="3"/>
        <v/>
      </c>
      <c r="M17" s="6" t="str">
        <f t="shared" si="4"/>
        <v/>
      </c>
      <c r="N17" s="6" t="str">
        <f t="shared" si="5"/>
        <v>MOSTRAR</v>
      </c>
    </row>
    <row r="18">
      <c r="A18" s="1"/>
      <c r="B18" s="8" t="str">
        <f>Calendario!$B18</f>
        <v>25/1</v>
      </c>
      <c r="C18" s="3" t="str">
        <f>Calendario!$C18</f>
        <v>Sunday</v>
      </c>
      <c r="D18" s="9" t="str">
        <f>Calendario!$D18</f>
        <v>Culto missionário</v>
      </c>
      <c r="E18" s="5" t="str">
        <f>Calendario!$E18</f>
        <v/>
      </c>
      <c r="F18" s="5" t="str">
        <f>Calendario!$F18</f>
        <v/>
      </c>
      <c r="G18" s="5"/>
      <c r="H18" s="6" t="str">
        <f t="shared" si="1"/>
        <v>1</v>
      </c>
      <c r="I18" s="6"/>
      <c r="J18" s="10" t="str">
        <f>'traspo ñ alterar'!$B18</f>
        <v>25/1/26</v>
      </c>
      <c r="K18" s="6" t="str">
        <f t="shared" si="2"/>
        <v>Culto missionário</v>
      </c>
      <c r="L18" s="6" t="str">
        <f t="shared" si="3"/>
        <v/>
      </c>
      <c r="M18" s="6" t="str">
        <f t="shared" si="4"/>
        <v/>
      </c>
      <c r="N18" s="6" t="str">
        <f t="shared" si="5"/>
        <v>MOSTRAR</v>
      </c>
    </row>
    <row r="19">
      <c r="A19" s="1"/>
      <c r="B19" s="8" t="str">
        <f>Calendario!$B19</f>
        <v>29/1</v>
      </c>
      <c r="C19" s="3" t="str">
        <f>Calendario!$C19</f>
        <v>Thursday</v>
      </c>
      <c r="D19" s="9" t="str">
        <f>Calendario!$D19</f>
        <v>Futebol </v>
      </c>
      <c r="E19" s="5" t="str">
        <f>Calendario!$E19</f>
        <v>Fora das dependências da igreja</v>
      </c>
      <c r="F19" s="5" t="str">
        <f>Calendario!$F19</f>
        <v>SMH</v>
      </c>
      <c r="G19" s="5"/>
      <c r="H19" s="6" t="str">
        <f t="shared" si="1"/>
        <v>1</v>
      </c>
      <c r="I19" s="6"/>
      <c r="J19" s="10" t="str">
        <f>'traspo ñ alterar'!$B19</f>
        <v>29/1/26</v>
      </c>
      <c r="K19" s="6" t="str">
        <f t="shared" si="2"/>
        <v>Futebol </v>
      </c>
      <c r="L19" s="6" t="str">
        <f t="shared" si="3"/>
        <v/>
      </c>
      <c r="M19" s="6" t="str">
        <f t="shared" si="4"/>
        <v/>
      </c>
      <c r="N19" s="6" t="str">
        <f t="shared" si="5"/>
        <v>MOSTRAR</v>
      </c>
    </row>
    <row r="20">
      <c r="A20" s="1"/>
      <c r="B20" s="8" t="str">
        <f>Calendario!$B20</f>
        <v>1/2</v>
      </c>
      <c r="C20" s="3" t="str">
        <f>Calendario!$C20</f>
        <v>Sunday</v>
      </c>
      <c r="D20" s="9" t="str">
        <f>Calendario!$D20</f>
        <v>Culto em Rio Brilhante</v>
      </c>
      <c r="E20" s="5" t="str">
        <f>Calendario!$E20</f>
        <v>Templo</v>
      </c>
      <c r="F20" s="5" t="str">
        <f>Calendario!$F20</f>
        <v>EBD</v>
      </c>
      <c r="G20" s="5"/>
      <c r="H20" s="6" t="str">
        <f t="shared" si="1"/>
        <v>1</v>
      </c>
      <c r="I20" s="6"/>
      <c r="J20" s="10" t="str">
        <f>'traspo ñ alterar'!$B20</f>
        <v>1/2/26</v>
      </c>
      <c r="K20" s="6" t="str">
        <f t="shared" si="2"/>
        <v>Culto em Rio Brilhante</v>
      </c>
      <c r="L20" s="6" t="str">
        <f t="shared" si="3"/>
        <v>Retorno da EBD</v>
      </c>
      <c r="M20" s="6" t="str">
        <f t="shared" si="4"/>
        <v>Retorno do Metokids</v>
      </c>
      <c r="N20" s="6" t="str">
        <f t="shared" si="5"/>
        <v>MOSTRAR</v>
      </c>
    </row>
    <row r="21" ht="15.75" customHeight="1">
      <c r="A21" s="1"/>
      <c r="B21" s="8" t="str">
        <f>Calendario!$B21</f>
        <v>1/2</v>
      </c>
      <c r="C21" s="3" t="str">
        <f>Calendario!$C21</f>
        <v>Sunday</v>
      </c>
      <c r="D21" s="9" t="str">
        <f>Calendario!$D21</f>
        <v>Retorno da EBD</v>
      </c>
      <c r="E21" s="5" t="str">
        <f>Calendario!$E21</f>
        <v>Metokids</v>
      </c>
      <c r="F21" s="5" t="str">
        <f>Calendario!$F21</f>
        <v>Metokids</v>
      </c>
      <c r="G21" s="5"/>
      <c r="H21" s="6" t="str">
        <f t="shared" si="1"/>
        <v>2</v>
      </c>
      <c r="I21" s="6"/>
      <c r="J21" s="10" t="str">
        <f>'traspo ñ alterar'!$B21</f>
        <v>1/2/26</v>
      </c>
      <c r="K21" s="6" t="str">
        <f t="shared" si="2"/>
        <v/>
      </c>
      <c r="L21" s="6" t="str">
        <f t="shared" si="3"/>
        <v/>
      </c>
      <c r="M21" s="6" t="str">
        <f t="shared" si="4"/>
        <v/>
      </c>
      <c r="N21" s="6" t="str">
        <f t="shared" si="5"/>
        <v>OCULTAR</v>
      </c>
    </row>
    <row r="22" ht="15.75" customHeight="1">
      <c r="A22" s="1"/>
      <c r="B22" s="8" t="str">
        <f>Calendario!$B22</f>
        <v>1/2</v>
      </c>
      <c r="C22" s="3" t="str">
        <f>Calendario!$C22</f>
        <v>Sunday</v>
      </c>
      <c r="D22" s="9" t="str">
        <f>Calendario!$D22</f>
        <v>Retorno do Metokids</v>
      </c>
      <c r="E22" s="5" t="str">
        <f>Calendario!$E22</f>
        <v/>
      </c>
      <c r="F22" s="5" t="str">
        <f>Calendario!$F22</f>
        <v/>
      </c>
      <c r="G22" s="5"/>
      <c r="H22" s="6" t="str">
        <f t="shared" si="1"/>
        <v>3</v>
      </c>
      <c r="I22" s="6"/>
      <c r="J22" s="10" t="str">
        <f>'traspo ñ alterar'!$B22</f>
        <v>1/2/26</v>
      </c>
      <c r="K22" s="6" t="str">
        <f t="shared" si="2"/>
        <v/>
      </c>
      <c r="L22" s="6" t="str">
        <f t="shared" si="3"/>
        <v/>
      </c>
      <c r="M22" s="6" t="str">
        <f t="shared" si="4"/>
        <v/>
      </c>
      <c r="N22" s="6" t="str">
        <f t="shared" si="5"/>
        <v>OCULTAR</v>
      </c>
    </row>
    <row r="23" ht="15.75" customHeight="1">
      <c r="A23" s="1"/>
      <c r="B23" s="8" t="str">
        <f>Calendario!$B23</f>
        <v>3/2</v>
      </c>
      <c r="C23" s="3" t="str">
        <f>Calendario!$C23</f>
        <v>Tuesday</v>
      </c>
      <c r="D23" s="9" t="str">
        <f>Calendario!$D23</f>
        <v>Encontro de Alinhamento das Células</v>
      </c>
      <c r="E23" s="5" t="str">
        <f>Calendario!$E23</f>
        <v>Templo</v>
      </c>
      <c r="F23" s="5" t="str">
        <f>Calendario!$F23</f>
        <v>Secretaria do discipulado</v>
      </c>
      <c r="G23" s="5"/>
      <c r="H23" s="6" t="str">
        <f t="shared" si="1"/>
        <v>1</v>
      </c>
      <c r="I23" s="6"/>
      <c r="J23" s="10" t="str">
        <f>'traspo ñ alterar'!$B23</f>
        <v>3/2/26</v>
      </c>
      <c r="K23" s="6" t="str">
        <f t="shared" si="2"/>
        <v>Encontro de Alinhamento das Células</v>
      </c>
      <c r="L23" s="6" t="str">
        <f t="shared" si="3"/>
        <v/>
      </c>
      <c r="M23" s="6" t="str">
        <f t="shared" si="4"/>
        <v/>
      </c>
      <c r="N23" s="6" t="str">
        <f t="shared" si="5"/>
        <v>MOSTRAR</v>
      </c>
    </row>
    <row r="24" ht="15.75" customHeight="1">
      <c r="A24" s="1"/>
      <c r="B24" s="8" t="str">
        <f>Calendario!$B24</f>
        <v>4/2</v>
      </c>
      <c r="C24" s="3" t="str">
        <f>Calendario!$C24</f>
        <v>Wednesday</v>
      </c>
      <c r="D24" s="9" t="str">
        <f>Calendario!$D24</f>
        <v>Célula</v>
      </c>
      <c r="E24" s="5" t="str">
        <f>Calendario!$E24</f>
        <v/>
      </c>
      <c r="F24" s="5" t="str">
        <f>Calendario!$F24</f>
        <v/>
      </c>
      <c r="G24" s="5"/>
      <c r="H24" s="6" t="str">
        <f t="shared" si="1"/>
        <v>1</v>
      </c>
      <c r="I24" s="6"/>
      <c r="J24" s="10" t="str">
        <f>'traspo ñ alterar'!$B24</f>
        <v>4/2/26</v>
      </c>
      <c r="K24" s="6" t="str">
        <f t="shared" si="2"/>
        <v>Célula</v>
      </c>
      <c r="L24" s="6" t="str">
        <f t="shared" si="3"/>
        <v/>
      </c>
      <c r="M24" s="6" t="str">
        <f t="shared" si="4"/>
        <v/>
      </c>
      <c r="N24" s="6" t="str">
        <f t="shared" si="5"/>
        <v>MOSTRAR</v>
      </c>
    </row>
    <row r="25" ht="15.75" customHeight="1">
      <c r="A25" s="1"/>
      <c r="B25" s="8" t="str">
        <f>Calendario!$B25</f>
        <v>5/2</v>
      </c>
      <c r="C25" s="3" t="str">
        <f>Calendario!$C25</f>
        <v>Thursday</v>
      </c>
      <c r="D25" s="9" t="str">
        <f>Calendario!$D25</f>
        <v>Encontro Mensal de Mulheres</v>
      </c>
      <c r="E25" s="5" t="str">
        <f>Calendario!$E25</f>
        <v/>
      </c>
      <c r="F25" s="5" t="str">
        <f>Calendario!$F25</f>
        <v>SMM</v>
      </c>
      <c r="G25" s="5"/>
      <c r="H25" s="6" t="str">
        <f t="shared" si="1"/>
        <v>1</v>
      </c>
      <c r="I25" s="6"/>
      <c r="J25" s="10" t="str">
        <f>'traspo ñ alterar'!$B25</f>
        <v>5/2/26</v>
      </c>
      <c r="K25" s="6" t="str">
        <f t="shared" si="2"/>
        <v>Encontro Mensal de Mulheres</v>
      </c>
      <c r="L25" s="6" t="str">
        <f t="shared" si="3"/>
        <v/>
      </c>
      <c r="M25" s="6" t="str">
        <f t="shared" si="4"/>
        <v/>
      </c>
      <c r="N25" s="6" t="str">
        <f t="shared" si="5"/>
        <v>MOSTRAR</v>
      </c>
    </row>
    <row r="26" ht="15.75" customHeight="1">
      <c r="A26" s="1"/>
      <c r="B26" s="8" t="str">
        <f>Calendario!$B26</f>
        <v>6/2</v>
      </c>
      <c r="C26" s="3" t="str">
        <f>Calendario!$C26</f>
        <v>Friday</v>
      </c>
      <c r="D26" s="9" t="str">
        <f>Calendario!$D26</f>
        <v>Vigília</v>
      </c>
      <c r="E26" s="5" t="str">
        <f>Calendario!$E26</f>
        <v>Templo</v>
      </c>
      <c r="F26" s="5" t="str">
        <f>Calendario!$F26</f>
        <v>Intercessão</v>
      </c>
      <c r="G26" s="5"/>
      <c r="H26" s="6" t="str">
        <f t="shared" si="1"/>
        <v>1</v>
      </c>
      <c r="I26" s="6"/>
      <c r="J26" s="10" t="str">
        <f>'traspo ñ alterar'!$B26</f>
        <v>6/2/26</v>
      </c>
      <c r="K26" s="6" t="str">
        <f t="shared" si="2"/>
        <v>Vigília</v>
      </c>
      <c r="L26" s="6" t="str">
        <f t="shared" si="3"/>
        <v>Sexta cabeceira</v>
      </c>
      <c r="M26" s="6" t="str">
        <f t="shared" si="4"/>
        <v/>
      </c>
      <c r="N26" s="6" t="str">
        <f t="shared" si="5"/>
        <v>MOSTRAR</v>
      </c>
    </row>
    <row r="27" ht="15.75" customHeight="1">
      <c r="A27" s="1"/>
      <c r="B27" s="8" t="str">
        <f>Calendario!$B27</f>
        <v>6/2</v>
      </c>
      <c r="C27" s="3" t="str">
        <f>Calendario!$C27</f>
        <v>Friday</v>
      </c>
      <c r="D27" s="9" t="str">
        <f>Calendario!$D27</f>
        <v>Sexta cabeceira</v>
      </c>
      <c r="E27" s="5" t="str">
        <f>Calendario!$E27</f>
        <v>Quadra</v>
      </c>
      <c r="F27" s="5" t="str">
        <f>Calendario!$F27</f>
        <v>Inteensos</v>
      </c>
      <c r="G27" s="5"/>
      <c r="H27" s="6" t="str">
        <f t="shared" si="1"/>
        <v>2</v>
      </c>
      <c r="I27" s="6"/>
      <c r="J27" s="10" t="str">
        <f>'traspo ñ alterar'!$B27</f>
        <v>6/2/26</v>
      </c>
      <c r="K27" s="6" t="str">
        <f t="shared" si="2"/>
        <v/>
      </c>
      <c r="L27" s="6" t="str">
        <f t="shared" si="3"/>
        <v/>
      </c>
      <c r="M27" s="6" t="str">
        <f t="shared" si="4"/>
        <v/>
      </c>
      <c r="N27" s="6" t="str">
        <f t="shared" si="5"/>
        <v>OCULTAR</v>
      </c>
    </row>
    <row r="28" ht="15.75" customHeight="1">
      <c r="A28" s="1"/>
      <c r="B28" s="8" t="str">
        <f>Calendario!$B28</f>
        <v>7/2</v>
      </c>
      <c r="C28" s="3" t="str">
        <f>Calendario!$C28</f>
        <v>Saturday</v>
      </c>
      <c r="D28" s="9" t="str">
        <f>Calendario!$D28</f>
        <v>Capacitação para os professores</v>
      </c>
      <c r="E28" s="5" t="str">
        <f>Calendario!$E28</f>
        <v>Templo</v>
      </c>
      <c r="F28" s="5" t="str">
        <f>Calendario!$F28</f>
        <v>EBD</v>
      </c>
      <c r="G28" s="5"/>
      <c r="H28" s="6" t="str">
        <f t="shared" si="1"/>
        <v>1</v>
      </c>
      <c r="I28" s="6"/>
      <c r="J28" s="10" t="str">
        <f>'traspo ñ alterar'!$B28</f>
        <v>7/2/26</v>
      </c>
      <c r="K28" s="6" t="str">
        <f t="shared" si="2"/>
        <v>Capacitação para os professores</v>
      </c>
      <c r="L28" s="6" t="str">
        <f t="shared" si="3"/>
        <v>Relogio de oração</v>
      </c>
      <c r="M28" s="6" t="str">
        <f t="shared" si="4"/>
        <v/>
      </c>
      <c r="N28" s="6" t="str">
        <f t="shared" si="5"/>
        <v>MOSTRAR</v>
      </c>
    </row>
    <row r="29" ht="15.75" customHeight="1">
      <c r="A29" s="1"/>
      <c r="B29" s="8" t="str">
        <f>Calendario!$B29</f>
        <v>7/2</v>
      </c>
      <c r="C29" s="3" t="str">
        <f>Calendario!$C29</f>
        <v>Saturday</v>
      </c>
      <c r="D29" s="9" t="str">
        <f>Calendario!$D29</f>
        <v>Relogio de oração</v>
      </c>
      <c r="E29" s="5" t="str">
        <f>Calendario!$E29</f>
        <v/>
      </c>
      <c r="F29" s="5" t="str">
        <f>Calendario!$F29</f>
        <v>Intercessão</v>
      </c>
      <c r="G29" s="5"/>
      <c r="H29" s="6" t="str">
        <f t="shared" si="1"/>
        <v>2</v>
      </c>
      <c r="I29" s="6"/>
      <c r="J29" s="10" t="str">
        <f>'traspo ñ alterar'!$B29</f>
        <v>7/2/26</v>
      </c>
      <c r="K29" s="6" t="str">
        <f t="shared" si="2"/>
        <v/>
      </c>
      <c r="L29" s="6" t="str">
        <f t="shared" si="3"/>
        <v/>
      </c>
      <c r="M29" s="6" t="str">
        <f t="shared" si="4"/>
        <v/>
      </c>
      <c r="N29" s="6" t="str">
        <f t="shared" si="5"/>
        <v>OCULTAR</v>
      </c>
    </row>
    <row r="30" ht="15.75" customHeight="1">
      <c r="A30" s="1"/>
      <c r="B30" s="8" t="str">
        <f>Calendario!$B30</f>
        <v>8/2</v>
      </c>
      <c r="C30" s="3" t="str">
        <f>Calendario!$C30</f>
        <v>Sunday</v>
      </c>
      <c r="D30" s="9" t="str">
        <f>Calendario!$D30</f>
        <v>Alinhamento ministerial/EBD</v>
      </c>
      <c r="E30" s="5" t="str">
        <f>Calendario!$E30</f>
        <v>Templo</v>
      </c>
      <c r="F30" s="5" t="str">
        <f>Calendario!$F30</f>
        <v>Pastoral</v>
      </c>
      <c r="G30" s="5"/>
      <c r="H30" s="6" t="str">
        <f t="shared" si="1"/>
        <v>1</v>
      </c>
      <c r="I30" s="6"/>
      <c r="J30" s="10" t="str">
        <f>'traspo ñ alterar'!$B30</f>
        <v>8/2/26</v>
      </c>
      <c r="K30" s="6" t="str">
        <f t="shared" si="2"/>
        <v>Alinhamento ministerial/EBD</v>
      </c>
      <c r="L30" s="6" t="str">
        <f t="shared" si="3"/>
        <v>Cantina prol GE</v>
      </c>
      <c r="M30" s="6" t="str">
        <f t="shared" si="4"/>
        <v/>
      </c>
      <c r="N30" s="6" t="str">
        <f t="shared" si="5"/>
        <v>MOSTRAR</v>
      </c>
    </row>
    <row r="31" ht="15.75" customHeight="1">
      <c r="A31" s="1"/>
      <c r="B31" s="8" t="str">
        <f>Calendario!$B31</f>
        <v>8/2</v>
      </c>
      <c r="C31" s="3" t="str">
        <f>Calendario!$C31</f>
        <v>Sunday</v>
      </c>
      <c r="D31" s="9" t="str">
        <f>Calendario!$D31</f>
        <v>Cantina prol GE</v>
      </c>
      <c r="E31" s="5" t="str">
        <f>Calendario!$E31</f>
        <v>A definir</v>
      </c>
      <c r="F31" s="5" t="str">
        <f>Calendario!$F31</f>
        <v>Inteensos</v>
      </c>
      <c r="G31" s="5"/>
      <c r="H31" s="6" t="str">
        <f t="shared" si="1"/>
        <v>2</v>
      </c>
      <c r="I31" s="6"/>
      <c r="J31" s="10" t="str">
        <f>'traspo ñ alterar'!$B31</f>
        <v>8/2/26</v>
      </c>
      <c r="K31" s="6" t="str">
        <f t="shared" si="2"/>
        <v/>
      </c>
      <c r="L31" s="6" t="str">
        <f t="shared" si="3"/>
        <v/>
      </c>
      <c r="M31" s="6" t="str">
        <f t="shared" si="4"/>
        <v/>
      </c>
      <c r="N31" s="6" t="str">
        <f t="shared" si="5"/>
        <v>OCULTAR</v>
      </c>
    </row>
    <row r="32" ht="15.75" customHeight="1">
      <c r="A32" s="1"/>
      <c r="B32" s="8" t="str">
        <f>Calendario!$B32</f>
        <v>11/2</v>
      </c>
      <c r="C32" s="3" t="str">
        <f>Calendario!$C32</f>
        <v>Wednesday</v>
      </c>
      <c r="D32" s="9" t="str">
        <f>Calendario!$D32</f>
        <v>Célula</v>
      </c>
      <c r="E32" s="5" t="str">
        <f>Calendario!$E32</f>
        <v/>
      </c>
      <c r="F32" s="5" t="str">
        <f>Calendario!$F32</f>
        <v/>
      </c>
      <c r="G32" s="5"/>
      <c r="H32" s="6" t="str">
        <f t="shared" si="1"/>
        <v>1</v>
      </c>
      <c r="I32" s="6"/>
      <c r="J32" s="10" t="str">
        <f>'traspo ñ alterar'!$B32</f>
        <v>11/2/26</v>
      </c>
      <c r="K32" s="6" t="str">
        <f t="shared" si="2"/>
        <v>Célula</v>
      </c>
      <c r="L32" s="6" t="str">
        <f t="shared" si="3"/>
        <v/>
      </c>
      <c r="M32" s="6" t="str">
        <f t="shared" si="4"/>
        <v/>
      </c>
      <c r="N32" s="6" t="str">
        <f t="shared" si="5"/>
        <v>MOSTRAR</v>
      </c>
    </row>
    <row r="33" ht="15.75" customHeight="1">
      <c r="A33" s="1"/>
      <c r="B33" s="8" t="str">
        <f>Calendario!$B33</f>
        <v>14/2</v>
      </c>
      <c r="C33" s="3" t="str">
        <f>Calendario!$C33</f>
        <v>Saturday</v>
      </c>
      <c r="D33" s="9" t="str">
        <f>Calendario!$D33</f>
        <v>Conferência de carnaval</v>
      </c>
      <c r="E33" s="5" t="str">
        <f>Calendario!$E33</f>
        <v>A definir</v>
      </c>
      <c r="F33" s="5" t="str">
        <f>Calendario!$F33</f>
        <v>Clam</v>
      </c>
      <c r="G33" s="5"/>
      <c r="H33" s="6" t="str">
        <f t="shared" si="1"/>
        <v>1</v>
      </c>
      <c r="I33" s="6"/>
      <c r="J33" s="10" t="str">
        <f>'traspo ñ alterar'!$B33</f>
        <v>14/2/26</v>
      </c>
      <c r="K33" s="6" t="str">
        <f t="shared" si="2"/>
        <v>Conferência de carnaval</v>
      </c>
      <c r="L33" s="6" t="str">
        <f t="shared" si="3"/>
        <v/>
      </c>
      <c r="M33" s="6" t="str">
        <f t="shared" si="4"/>
        <v/>
      </c>
      <c r="N33" s="6" t="str">
        <f t="shared" si="5"/>
        <v>MOSTRAR</v>
      </c>
    </row>
    <row r="34" ht="15.75" customHeight="1">
      <c r="A34" s="1"/>
      <c r="B34" s="8" t="str">
        <f>Calendario!$B34</f>
        <v>15/2</v>
      </c>
      <c r="C34" s="3" t="str">
        <f>Calendario!$C34</f>
        <v>Sunday</v>
      </c>
      <c r="D34" s="9" t="str">
        <f>Calendario!$D34</f>
        <v>Conferência de carnaval</v>
      </c>
      <c r="E34" s="5" t="str">
        <f>Calendario!$E34</f>
        <v>A definir</v>
      </c>
      <c r="F34" s="5" t="str">
        <f>Calendario!$F34</f>
        <v>Clam</v>
      </c>
      <c r="G34" s="5"/>
      <c r="H34" s="6" t="str">
        <f t="shared" si="1"/>
        <v>1</v>
      </c>
      <c r="I34" s="6"/>
      <c r="J34" s="10" t="str">
        <f>'traspo ñ alterar'!$B34</f>
        <v>15/2/26</v>
      </c>
      <c r="K34" s="6" t="str">
        <f t="shared" si="2"/>
        <v>Conferência de carnaval</v>
      </c>
      <c r="L34" s="6" t="str">
        <f t="shared" si="3"/>
        <v/>
      </c>
      <c r="M34" s="6" t="str">
        <f t="shared" si="4"/>
        <v/>
      </c>
      <c r="N34" s="6" t="str">
        <f t="shared" si="5"/>
        <v>MOSTRAR</v>
      </c>
    </row>
    <row r="35" ht="15.75" customHeight="1">
      <c r="A35" s="1"/>
      <c r="B35" s="8" t="str">
        <f>Calendario!$B35</f>
        <v>18/2</v>
      </c>
      <c r="C35" s="3" t="str">
        <f>Calendario!$C35</f>
        <v>Wednesday</v>
      </c>
      <c r="D35" s="9" t="str">
        <f>Calendario!$D35</f>
        <v>Célula</v>
      </c>
      <c r="E35" s="5" t="str">
        <f>Calendario!$E35</f>
        <v/>
      </c>
      <c r="F35" s="5" t="str">
        <f>Calendario!$F35</f>
        <v/>
      </c>
      <c r="G35" s="5"/>
      <c r="H35" s="6" t="str">
        <f t="shared" si="1"/>
        <v>1</v>
      </c>
      <c r="I35" s="6"/>
      <c r="J35" s="10" t="str">
        <f>'traspo ñ alterar'!$B35</f>
        <v>18/2/26</v>
      </c>
      <c r="K35" s="6" t="str">
        <f t="shared" si="2"/>
        <v>Célula</v>
      </c>
      <c r="L35" s="6" t="str">
        <f t="shared" si="3"/>
        <v/>
      </c>
      <c r="M35" s="6" t="str">
        <f t="shared" si="4"/>
        <v/>
      </c>
      <c r="N35" s="6" t="str">
        <f t="shared" si="5"/>
        <v>MOSTRAR</v>
      </c>
    </row>
    <row r="36" ht="15.75" customHeight="1">
      <c r="A36" s="1"/>
      <c r="B36" s="8" t="str">
        <f>Calendario!$B36</f>
        <v>20/2</v>
      </c>
      <c r="C36" s="3" t="str">
        <f>Calendario!$C36</f>
        <v>Friday</v>
      </c>
      <c r="D36" s="9" t="str">
        <f>Calendario!$D36</f>
        <v>Sexta cabeceira</v>
      </c>
      <c r="E36" s="5" t="str">
        <f>Calendario!$E36</f>
        <v>Quadra</v>
      </c>
      <c r="F36" s="5" t="str">
        <f>Calendario!$F36</f>
        <v>Inteensos</v>
      </c>
      <c r="G36" s="5"/>
      <c r="H36" s="6" t="str">
        <f t="shared" si="1"/>
        <v>1</v>
      </c>
      <c r="I36" s="6"/>
      <c r="J36" s="10" t="str">
        <f>'traspo ñ alterar'!$B36</f>
        <v>20/2/26</v>
      </c>
      <c r="K36" s="6" t="str">
        <f t="shared" si="2"/>
        <v>Sexta cabeceira</v>
      </c>
      <c r="L36" s="6" t="str">
        <f t="shared" si="3"/>
        <v/>
      </c>
      <c r="M36" s="6" t="str">
        <f t="shared" si="4"/>
        <v/>
      </c>
      <c r="N36" s="6" t="str">
        <f t="shared" si="5"/>
        <v>MOSTRAR</v>
      </c>
    </row>
    <row r="37" ht="15.75" customHeight="1">
      <c r="A37" s="1"/>
      <c r="B37" s="8" t="str">
        <f>Calendario!$B37</f>
        <v>21/2</v>
      </c>
      <c r="C37" s="3" t="str">
        <f>Calendario!$C37</f>
        <v>Saturday</v>
      </c>
      <c r="D37" s="9" t="str">
        <f>Calendario!$D37</f>
        <v>Inteensos pós acamps</v>
      </c>
      <c r="E37" s="5" t="str">
        <f>Calendario!$E37</f>
        <v>Templo</v>
      </c>
      <c r="F37" s="5" t="str">
        <f>Calendario!$F37</f>
        <v>Inteensos</v>
      </c>
      <c r="G37" s="5"/>
      <c r="H37" s="6" t="str">
        <f t="shared" si="1"/>
        <v>1</v>
      </c>
      <c r="I37" s="6"/>
      <c r="J37" s="10" t="str">
        <f>'traspo ñ alterar'!$B37</f>
        <v>21/2/26</v>
      </c>
      <c r="K37" s="6" t="str">
        <f t="shared" si="2"/>
        <v>Inteensos pós acamps</v>
      </c>
      <c r="L37" s="6" t="str">
        <f t="shared" si="3"/>
        <v/>
      </c>
      <c r="M37" s="6" t="str">
        <f t="shared" si="4"/>
        <v/>
      </c>
      <c r="N37" s="6" t="str">
        <f t="shared" si="5"/>
        <v>MOSTRAR</v>
      </c>
    </row>
    <row r="38" ht="15.75" customHeight="1">
      <c r="A38" s="1"/>
      <c r="B38" s="8" t="str">
        <f>Calendario!$B38</f>
        <v>22/2</v>
      </c>
      <c r="C38" s="3" t="str">
        <f>Calendario!$C38</f>
        <v>Sunday</v>
      </c>
      <c r="D38" s="9" t="str">
        <f>Calendario!$D38</f>
        <v>Divisão de clases EBD</v>
      </c>
      <c r="E38" s="5" t="str">
        <f>Calendario!$E38</f>
        <v>A definir</v>
      </c>
      <c r="F38" s="5" t="str">
        <f>Calendario!$F38</f>
        <v>EBD</v>
      </c>
      <c r="G38" s="5"/>
      <c r="H38" s="6" t="str">
        <f t="shared" si="1"/>
        <v>1</v>
      </c>
      <c r="I38" s="6"/>
      <c r="J38" s="10" t="str">
        <f>'traspo ñ alterar'!$B38</f>
        <v>22/2/26</v>
      </c>
      <c r="K38" s="6" t="str">
        <f t="shared" si="2"/>
        <v>Divisão de clases EBD</v>
      </c>
      <c r="L38" s="6" t="str">
        <f t="shared" si="3"/>
        <v>Culto missionário</v>
      </c>
      <c r="M38" s="6" t="str">
        <f t="shared" si="4"/>
        <v/>
      </c>
      <c r="N38" s="6" t="str">
        <f t="shared" si="5"/>
        <v>MOSTRAR</v>
      </c>
    </row>
    <row r="39" ht="15.75" customHeight="1">
      <c r="A39" s="1"/>
      <c r="B39" s="8" t="str">
        <f>Calendario!$B39</f>
        <v>22/2</v>
      </c>
      <c r="C39" s="3" t="str">
        <f>Calendario!$C39</f>
        <v>Sunday</v>
      </c>
      <c r="D39" s="9" t="str">
        <f>Calendario!$D39</f>
        <v>Culto missionário</v>
      </c>
      <c r="E39" s="5" t="str">
        <f>Calendario!$E39</f>
        <v/>
      </c>
      <c r="F39" s="5" t="str">
        <f>Calendario!$F39</f>
        <v>Pastoral</v>
      </c>
      <c r="G39" s="5"/>
      <c r="H39" s="6" t="str">
        <f t="shared" si="1"/>
        <v>2</v>
      </c>
      <c r="I39" s="6"/>
      <c r="J39" s="10" t="str">
        <f>'traspo ñ alterar'!$B39</f>
        <v>22/2/26</v>
      </c>
      <c r="K39" s="6" t="str">
        <f t="shared" si="2"/>
        <v/>
      </c>
      <c r="L39" s="6" t="str">
        <f t="shared" si="3"/>
        <v/>
      </c>
      <c r="M39" s="6" t="str">
        <f t="shared" si="4"/>
        <v/>
      </c>
      <c r="N39" s="6" t="str">
        <f t="shared" si="5"/>
        <v>OCULTAR</v>
      </c>
    </row>
    <row r="40" ht="15.75" customHeight="1">
      <c r="A40" s="1"/>
      <c r="B40" s="8" t="str">
        <f>Calendario!$B40</f>
        <v>25/2</v>
      </c>
      <c r="C40" s="3" t="str">
        <f>Calendario!$C40</f>
        <v>Wednesday</v>
      </c>
      <c r="D40" s="9" t="str">
        <f>Calendario!$D40</f>
        <v>Célula</v>
      </c>
      <c r="E40" s="5" t="str">
        <f>Calendario!$E40</f>
        <v/>
      </c>
      <c r="F40" s="5" t="str">
        <f>Calendario!$F40</f>
        <v/>
      </c>
      <c r="G40" s="5"/>
      <c r="H40" s="6" t="str">
        <f t="shared" si="1"/>
        <v>1</v>
      </c>
      <c r="I40" s="6"/>
      <c r="J40" s="10" t="str">
        <f>'traspo ñ alterar'!$B40</f>
        <v>25/2/26</v>
      </c>
      <c r="K40" s="6" t="str">
        <f t="shared" si="2"/>
        <v>Célula</v>
      </c>
      <c r="L40" s="6" t="str">
        <f t="shared" si="3"/>
        <v/>
      </c>
      <c r="M40" s="6" t="str">
        <f t="shared" si="4"/>
        <v/>
      </c>
      <c r="N40" s="6" t="str">
        <f t="shared" si="5"/>
        <v>MOSTRAR</v>
      </c>
    </row>
    <row r="41" ht="15.75" customHeight="1">
      <c r="A41" s="1"/>
      <c r="B41" s="8" t="str">
        <f>Calendario!$B41</f>
        <v>26/2</v>
      </c>
      <c r="C41" s="3" t="str">
        <f>Calendario!$C41</f>
        <v>Thursday</v>
      </c>
      <c r="D41" s="9" t="str">
        <f>Calendario!$D41</f>
        <v>Culto de homens</v>
      </c>
      <c r="E41" s="5" t="str">
        <f>Calendario!$E41</f>
        <v>Metokids</v>
      </c>
      <c r="F41" s="5" t="str">
        <f>Calendario!$F41</f>
        <v>SMH</v>
      </c>
      <c r="G41" s="5"/>
      <c r="H41" s="6" t="str">
        <f t="shared" si="1"/>
        <v>1</v>
      </c>
      <c r="I41" s="6"/>
      <c r="J41" s="10" t="str">
        <f>'traspo ñ alterar'!$B41</f>
        <v>26/2/26</v>
      </c>
      <c r="K41" s="6" t="str">
        <f t="shared" si="2"/>
        <v>Culto de homens</v>
      </c>
      <c r="L41" s="6" t="str">
        <f t="shared" si="3"/>
        <v/>
      </c>
      <c r="M41" s="6" t="str">
        <f t="shared" si="4"/>
        <v/>
      </c>
      <c r="N41" s="6" t="str">
        <f t="shared" si="5"/>
        <v>MOSTRAR</v>
      </c>
    </row>
    <row r="42" ht="15.75" customHeight="1">
      <c r="A42" s="1"/>
      <c r="B42" s="8" t="str">
        <f>Calendario!$B42</f>
        <v>27/2</v>
      </c>
      <c r="C42" s="3" t="str">
        <f>Calendario!$C42</f>
        <v>Friday</v>
      </c>
      <c r="D42" s="9" t="str">
        <f>Calendario!$D42</f>
        <v>Sexta cabeceira</v>
      </c>
      <c r="E42" s="5" t="str">
        <f>Calendario!$E42</f>
        <v>Quadra</v>
      </c>
      <c r="F42" s="5" t="str">
        <f>Calendario!$F42</f>
        <v>Inteensos</v>
      </c>
      <c r="G42" s="5"/>
      <c r="H42" s="6" t="str">
        <f t="shared" si="1"/>
        <v>1</v>
      </c>
      <c r="I42" s="6"/>
      <c r="J42" s="10" t="str">
        <f>'traspo ñ alterar'!$B42</f>
        <v>27/2/26</v>
      </c>
      <c r="K42" s="6" t="str">
        <f t="shared" si="2"/>
        <v>Sexta cabeceira</v>
      </c>
      <c r="L42" s="6" t="str">
        <f t="shared" si="3"/>
        <v/>
      </c>
      <c r="M42" s="6" t="str">
        <f t="shared" si="4"/>
        <v/>
      </c>
      <c r="N42" s="6" t="str">
        <f t="shared" si="5"/>
        <v>MOSTRAR</v>
      </c>
    </row>
    <row r="43" ht="15.75" customHeight="1">
      <c r="A43" s="1"/>
      <c r="B43" s="8" t="str">
        <f>Calendario!$B43</f>
        <v>1/3</v>
      </c>
      <c r="C43" s="3" t="str">
        <f>Calendario!$C43</f>
        <v>Sunday</v>
      </c>
      <c r="D43" s="9" t="str">
        <f>Calendario!$D43</f>
        <v>Campanha do agasalho</v>
      </c>
      <c r="E43" s="5" t="str">
        <f>Calendario!$E43</f>
        <v>Templo</v>
      </c>
      <c r="F43" s="5" t="str">
        <f>Calendario!$F43</f>
        <v>Ação Social</v>
      </c>
      <c r="G43" s="5"/>
      <c r="H43" s="6" t="str">
        <f t="shared" si="1"/>
        <v>1</v>
      </c>
      <c r="I43" s="6"/>
      <c r="J43" s="10" t="str">
        <f>'traspo ñ alterar'!$B43</f>
        <v>1/3/26</v>
      </c>
      <c r="K43" s="6" t="str">
        <f t="shared" si="2"/>
        <v>Campanha do agasalho</v>
      </c>
      <c r="L43" s="6" t="str">
        <f t="shared" si="3"/>
        <v>Culto em Rio Brilhante</v>
      </c>
      <c r="M43" s="6" t="str">
        <f t="shared" si="4"/>
        <v/>
      </c>
      <c r="N43" s="6" t="str">
        <f t="shared" si="5"/>
        <v>MOSTRAR</v>
      </c>
    </row>
    <row r="44" ht="15.75" customHeight="1">
      <c r="A44" s="1"/>
      <c r="B44" s="8" t="str">
        <f>Calendario!$B44</f>
        <v>1/3</v>
      </c>
      <c r="C44" s="3" t="str">
        <f>Calendario!$C44</f>
        <v>Sunday</v>
      </c>
      <c r="D44" s="9" t="str">
        <f>Calendario!$D44</f>
        <v>Culto em Rio Brilhante</v>
      </c>
      <c r="E44" s="5" t="str">
        <f>Calendario!$E44</f>
        <v/>
      </c>
      <c r="F44" s="5" t="str">
        <f>Calendario!$F44</f>
        <v/>
      </c>
      <c r="G44" s="5"/>
      <c r="H44" s="6" t="str">
        <f t="shared" si="1"/>
        <v>2</v>
      </c>
      <c r="I44" s="6"/>
      <c r="J44" s="10" t="str">
        <f>'traspo ñ alterar'!$B44</f>
        <v>1/3/26</v>
      </c>
      <c r="K44" s="6" t="str">
        <f t="shared" si="2"/>
        <v/>
      </c>
      <c r="L44" s="6" t="str">
        <f t="shared" si="3"/>
        <v/>
      </c>
      <c r="M44" s="6" t="str">
        <f t="shared" si="4"/>
        <v/>
      </c>
      <c r="N44" s="6" t="str">
        <f t="shared" si="5"/>
        <v>OCULTAR</v>
      </c>
    </row>
    <row r="45" ht="15.75" customHeight="1">
      <c r="A45" s="1"/>
      <c r="B45" s="8" t="str">
        <f>Calendario!$B45</f>
        <v>4/3</v>
      </c>
      <c r="C45" s="3" t="str">
        <f>Calendario!$C45</f>
        <v>Wednesday</v>
      </c>
      <c r="D45" s="9" t="str">
        <f>Calendario!$D45</f>
        <v>Célula</v>
      </c>
      <c r="E45" s="5" t="str">
        <f>Calendario!$E45</f>
        <v/>
      </c>
      <c r="F45" s="5" t="str">
        <f>Calendario!$F45</f>
        <v/>
      </c>
      <c r="G45" s="5"/>
      <c r="H45" s="6" t="str">
        <f t="shared" si="1"/>
        <v>1</v>
      </c>
      <c r="I45" s="6"/>
      <c r="J45" s="10" t="str">
        <f>'traspo ñ alterar'!$B45</f>
        <v>4/3/26</v>
      </c>
      <c r="K45" s="6" t="str">
        <f t="shared" si="2"/>
        <v>Célula</v>
      </c>
      <c r="L45" s="6" t="str">
        <f t="shared" si="3"/>
        <v/>
      </c>
      <c r="M45" s="6" t="str">
        <f t="shared" si="4"/>
        <v/>
      </c>
      <c r="N45" s="6" t="str">
        <f t="shared" si="5"/>
        <v>MOSTRAR</v>
      </c>
    </row>
    <row r="46" ht="15.75" customHeight="1">
      <c r="A46" s="1"/>
      <c r="B46" s="8" t="str">
        <f>Calendario!$B46</f>
        <v>5/3</v>
      </c>
      <c r="C46" s="3" t="str">
        <f>Calendario!$C46</f>
        <v>Thursday</v>
      </c>
      <c r="D46" s="9" t="str">
        <f>Calendario!$D46</f>
        <v>Futebol </v>
      </c>
      <c r="E46" s="5" t="str">
        <f>Calendario!$E46</f>
        <v>Fora das dependências da igreja</v>
      </c>
      <c r="F46" s="5" t="str">
        <f>Calendario!$F46</f>
        <v>SMH</v>
      </c>
      <c r="G46" s="5"/>
      <c r="H46" s="6" t="str">
        <f t="shared" si="1"/>
        <v>1</v>
      </c>
      <c r="I46" s="6"/>
      <c r="J46" s="10" t="str">
        <f>'traspo ñ alterar'!$B46</f>
        <v>5/3/26</v>
      </c>
      <c r="K46" s="6" t="str">
        <f t="shared" si="2"/>
        <v>Futebol </v>
      </c>
      <c r="L46" s="6" t="str">
        <f t="shared" si="3"/>
        <v/>
      </c>
      <c r="M46" s="6" t="str">
        <f t="shared" si="4"/>
        <v/>
      </c>
      <c r="N46" s="6" t="str">
        <f t="shared" si="5"/>
        <v>MOSTRAR</v>
      </c>
    </row>
    <row r="47" ht="15.75" customHeight="1">
      <c r="A47" s="1"/>
      <c r="B47" s="8" t="str">
        <f>Calendario!$B47</f>
        <v>6/3</v>
      </c>
      <c r="C47" s="3" t="str">
        <f>Calendario!$C47</f>
        <v>Friday</v>
      </c>
      <c r="D47" s="9" t="str">
        <f>Calendario!$D47</f>
        <v>Vigília</v>
      </c>
      <c r="E47" s="5" t="str">
        <f>Calendario!$E47</f>
        <v>Templo</v>
      </c>
      <c r="F47" s="5" t="str">
        <f>Calendario!$F47</f>
        <v>Intercessão</v>
      </c>
      <c r="G47" s="5"/>
      <c r="H47" s="6" t="str">
        <f t="shared" si="1"/>
        <v>1</v>
      </c>
      <c r="I47" s="6"/>
      <c r="J47" s="10" t="str">
        <f>'traspo ñ alterar'!$B47</f>
        <v>6/3/26</v>
      </c>
      <c r="K47" s="6" t="str">
        <f t="shared" si="2"/>
        <v>Vigília</v>
      </c>
      <c r="L47" s="6" t="str">
        <f t="shared" si="3"/>
        <v>Sexta cabeceira</v>
      </c>
      <c r="M47" s="6" t="str">
        <f t="shared" si="4"/>
        <v/>
      </c>
      <c r="N47" s="6" t="str">
        <f t="shared" si="5"/>
        <v>MOSTRAR</v>
      </c>
    </row>
    <row r="48" ht="15.75" customHeight="1">
      <c r="A48" s="1"/>
      <c r="B48" s="8" t="str">
        <f>Calendario!$B48</f>
        <v>6/3</v>
      </c>
      <c r="C48" s="3" t="str">
        <f>Calendario!$C48</f>
        <v>Friday</v>
      </c>
      <c r="D48" s="9" t="str">
        <f>Calendario!$D48</f>
        <v>Sexta cabeceira</v>
      </c>
      <c r="E48" s="5" t="str">
        <f>Calendario!$E48</f>
        <v>Quadra</v>
      </c>
      <c r="F48" s="5" t="str">
        <f>Calendario!$F48</f>
        <v>Inteensos</v>
      </c>
      <c r="G48" s="5"/>
      <c r="H48" s="6" t="str">
        <f t="shared" si="1"/>
        <v>2</v>
      </c>
      <c r="I48" s="6"/>
      <c r="J48" s="10" t="str">
        <f>'traspo ñ alterar'!$B48</f>
        <v>6/3/26</v>
      </c>
      <c r="K48" s="6" t="str">
        <f t="shared" si="2"/>
        <v/>
      </c>
      <c r="L48" s="6" t="str">
        <f t="shared" si="3"/>
        <v/>
      </c>
      <c r="M48" s="6" t="str">
        <f t="shared" si="4"/>
        <v/>
      </c>
      <c r="N48" s="6" t="str">
        <f t="shared" si="5"/>
        <v>OCULTAR</v>
      </c>
    </row>
    <row r="49" ht="15.75" customHeight="1">
      <c r="A49" s="1"/>
      <c r="B49" s="8" t="str">
        <f>Calendario!$B49</f>
        <v>7/3</v>
      </c>
      <c r="C49" s="3" t="str">
        <f>Calendario!$C49</f>
        <v>Saturday</v>
      </c>
      <c r="D49" s="9" t="str">
        <f>Calendario!$D49</f>
        <v>Promoção Multimidia </v>
      </c>
      <c r="E49" s="5" t="str">
        <f>Calendario!$E49</f>
        <v/>
      </c>
      <c r="F49" s="5" t="str">
        <f>Calendario!$F49</f>
        <v/>
      </c>
      <c r="G49" s="5"/>
      <c r="H49" s="6" t="str">
        <f t="shared" si="1"/>
        <v>1</v>
      </c>
      <c r="I49" s="6"/>
      <c r="J49" s="10" t="str">
        <f>'traspo ñ alterar'!$B49</f>
        <v>7/3/26</v>
      </c>
      <c r="K49" s="6" t="str">
        <f t="shared" si="2"/>
        <v>Promoção Multimidia </v>
      </c>
      <c r="L49" s="6" t="str">
        <f t="shared" si="3"/>
        <v>Relogio de oração</v>
      </c>
      <c r="M49" s="6" t="str">
        <f t="shared" si="4"/>
        <v/>
      </c>
      <c r="N49" s="6" t="str">
        <f t="shared" si="5"/>
        <v>MOSTRAR</v>
      </c>
    </row>
    <row r="50" ht="15.75" customHeight="1">
      <c r="A50" s="1"/>
      <c r="B50" s="8" t="str">
        <f>Calendario!$B50</f>
        <v>7/3</v>
      </c>
      <c r="C50" s="3" t="str">
        <f>Calendario!$C50</f>
        <v>Saturday</v>
      </c>
      <c r="D50" s="9" t="str">
        <f>Calendario!$D50</f>
        <v>Relogio de oração</v>
      </c>
      <c r="E50" s="5" t="str">
        <f>Calendario!$E50</f>
        <v/>
      </c>
      <c r="F50" s="5" t="str">
        <f>Calendario!$F50</f>
        <v>Intercessão</v>
      </c>
      <c r="G50" s="5"/>
      <c r="H50" s="6" t="str">
        <f t="shared" si="1"/>
        <v>2</v>
      </c>
      <c r="I50" s="6"/>
      <c r="J50" s="10" t="str">
        <f>'traspo ñ alterar'!$B50</f>
        <v>7/3/26</v>
      </c>
      <c r="K50" s="6" t="str">
        <f t="shared" si="2"/>
        <v/>
      </c>
      <c r="L50" s="6" t="str">
        <f t="shared" si="3"/>
        <v/>
      </c>
      <c r="M50" s="6" t="str">
        <f t="shared" si="4"/>
        <v/>
      </c>
      <c r="N50" s="6" t="str">
        <f t="shared" si="5"/>
        <v>OCULTAR</v>
      </c>
    </row>
    <row r="51" ht="15.75" customHeight="1">
      <c r="A51" s="1"/>
      <c r="B51" s="8" t="str">
        <f>Calendario!$B51</f>
        <v>8/3</v>
      </c>
      <c r="C51" s="3" t="str">
        <f>Calendario!$C51</f>
        <v>Sunday</v>
      </c>
      <c r="D51" s="9" t="str">
        <f>Calendario!$D51</f>
        <v>Culto especial dia da mulher</v>
      </c>
      <c r="E51" s="5" t="str">
        <f>Calendario!$E51</f>
        <v>Varanda  + jantar</v>
      </c>
      <c r="F51" s="5" t="str">
        <f>Calendario!$F51</f>
        <v>SMH</v>
      </c>
      <c r="G51" s="5"/>
      <c r="H51" s="6" t="str">
        <f t="shared" si="1"/>
        <v>1</v>
      </c>
      <c r="I51" s="6"/>
      <c r="J51" s="10" t="str">
        <f>'traspo ñ alterar'!$B51</f>
        <v>8/3/26</v>
      </c>
      <c r="K51" s="6" t="str">
        <f t="shared" si="2"/>
        <v>Culto especial dia da mulher</v>
      </c>
      <c r="L51" s="6" t="str">
        <f t="shared" si="3"/>
        <v/>
      </c>
      <c r="M51" s="6" t="str">
        <f t="shared" si="4"/>
        <v/>
      </c>
      <c r="N51" s="6" t="str">
        <f t="shared" si="5"/>
        <v>MOSTRAR</v>
      </c>
    </row>
    <row r="52" ht="15.75" customHeight="1">
      <c r="A52" s="1"/>
      <c r="B52" s="8" t="str">
        <f>Calendario!$B52</f>
        <v>11/3</v>
      </c>
      <c r="C52" s="3" t="str">
        <f>Calendario!$C52</f>
        <v>Wednesday</v>
      </c>
      <c r="D52" s="9" t="str">
        <f>Calendario!$D52</f>
        <v>Célula</v>
      </c>
      <c r="E52" s="5" t="str">
        <f>Calendario!$E52</f>
        <v/>
      </c>
      <c r="F52" s="5" t="str">
        <f>Calendario!$F52</f>
        <v/>
      </c>
      <c r="G52" s="5"/>
      <c r="H52" s="6" t="str">
        <f t="shared" si="1"/>
        <v>1</v>
      </c>
      <c r="I52" s="6"/>
      <c r="J52" s="10" t="str">
        <f>'traspo ñ alterar'!$B52</f>
        <v>11/3/26</v>
      </c>
      <c r="K52" s="6" t="str">
        <f t="shared" si="2"/>
        <v>Célula</v>
      </c>
      <c r="L52" s="6" t="str">
        <f t="shared" si="3"/>
        <v/>
      </c>
      <c r="M52" s="6" t="str">
        <f t="shared" si="4"/>
        <v/>
      </c>
      <c r="N52" s="6" t="str">
        <f t="shared" si="5"/>
        <v>MOSTRAR</v>
      </c>
    </row>
    <row r="53" ht="15.75" customHeight="1">
      <c r="A53" s="1"/>
      <c r="B53" s="8" t="str">
        <f>Calendario!$B53</f>
        <v>12/3</v>
      </c>
      <c r="C53" s="3" t="str">
        <f>Calendario!$C53</f>
        <v>Thursday</v>
      </c>
      <c r="D53" s="9" t="str">
        <f>Calendario!$D53</f>
        <v>Encontro Mensal de Mulheres</v>
      </c>
      <c r="E53" s="5" t="str">
        <f>Calendario!$E53</f>
        <v> (Dia da Mulher)</v>
      </c>
      <c r="F53" s="5" t="str">
        <f>Calendario!$F53</f>
        <v>SMM</v>
      </c>
      <c r="G53" s="5"/>
      <c r="H53" s="6" t="str">
        <f t="shared" si="1"/>
        <v>1</v>
      </c>
      <c r="I53" s="6"/>
      <c r="J53" s="10" t="str">
        <f>'traspo ñ alterar'!$B53</f>
        <v>12/3/26</v>
      </c>
      <c r="K53" s="6" t="str">
        <f t="shared" si="2"/>
        <v>Encontro Mensal de Mulheres</v>
      </c>
      <c r="L53" s="6" t="str">
        <f t="shared" si="3"/>
        <v/>
      </c>
      <c r="M53" s="6" t="str">
        <f t="shared" si="4"/>
        <v/>
      </c>
      <c r="N53" s="6" t="str">
        <f t="shared" si="5"/>
        <v>MOSTRAR</v>
      </c>
    </row>
    <row r="54" ht="15.75" customHeight="1">
      <c r="A54" s="1"/>
      <c r="B54" s="8" t="str">
        <f>Calendario!$B54</f>
        <v>13/3</v>
      </c>
      <c r="C54" s="3" t="str">
        <f>Calendario!$C54</f>
        <v>Friday</v>
      </c>
      <c r="D54" s="9" t="str">
        <f>Calendario!$D54</f>
        <v>Sexta cabeceira</v>
      </c>
      <c r="E54" s="5" t="str">
        <f>Calendario!$E54</f>
        <v>Quadra</v>
      </c>
      <c r="F54" s="5" t="str">
        <f>Calendario!$F54</f>
        <v>Inteensos</v>
      </c>
      <c r="G54" s="5"/>
      <c r="H54" s="6" t="str">
        <f t="shared" si="1"/>
        <v>1</v>
      </c>
      <c r="I54" s="6"/>
      <c r="J54" s="10" t="str">
        <f>'traspo ñ alterar'!$B54</f>
        <v>13/3/26</v>
      </c>
      <c r="K54" s="6" t="str">
        <f t="shared" si="2"/>
        <v>Sexta cabeceira</v>
      </c>
      <c r="L54" s="6" t="str">
        <f t="shared" si="3"/>
        <v/>
      </c>
      <c r="M54" s="6" t="str">
        <f t="shared" si="4"/>
        <v/>
      </c>
      <c r="N54" s="6" t="str">
        <f t="shared" si="5"/>
        <v>MOSTRAR</v>
      </c>
    </row>
    <row r="55" ht="15.75" customHeight="1">
      <c r="A55" s="1"/>
      <c r="B55" s="8" t="str">
        <f>Calendario!$B55</f>
        <v>14/3</v>
      </c>
      <c r="C55" s="3" t="str">
        <f>Calendario!$C55</f>
        <v>Saturday</v>
      </c>
      <c r="D55" s="9" t="str">
        <f>Calendario!$D55</f>
        <v>Inteensos</v>
      </c>
      <c r="E55" s="5" t="str">
        <f>Calendario!$E55</f>
        <v>Templo</v>
      </c>
      <c r="F55" s="5" t="str">
        <f>Calendario!$F55</f>
        <v>Inteensos</v>
      </c>
      <c r="G55" s="5"/>
      <c r="H55" s="6" t="str">
        <f t="shared" si="1"/>
        <v>1</v>
      </c>
      <c r="I55" s="6"/>
      <c r="J55" s="10" t="str">
        <f>'traspo ñ alterar'!$B55</f>
        <v>14/3/26</v>
      </c>
      <c r="K55" s="6" t="str">
        <f t="shared" si="2"/>
        <v>Inteensos</v>
      </c>
      <c r="L55" s="6" t="str">
        <f t="shared" si="3"/>
        <v/>
      </c>
      <c r="M55" s="6" t="str">
        <f t="shared" si="4"/>
        <v/>
      </c>
      <c r="N55" s="6" t="str">
        <f t="shared" si="5"/>
        <v>MOSTRAR</v>
      </c>
    </row>
    <row r="56" ht="15.75" customHeight="1">
      <c r="A56" s="1"/>
      <c r="B56" s="8" t="str">
        <f>Calendario!$B56</f>
        <v>15/3</v>
      </c>
      <c r="C56" s="3" t="str">
        <f>Calendario!$C56</f>
        <v>Sunday</v>
      </c>
      <c r="D56" s="9" t="str">
        <f>Calendario!$D56</f>
        <v>Cantina prol GE</v>
      </c>
      <c r="E56" s="5" t="str">
        <f>Calendario!$E56</f>
        <v>A definir</v>
      </c>
      <c r="F56" s="5" t="str">
        <f>Calendario!$F56</f>
        <v>Inteensos</v>
      </c>
      <c r="G56" s="5"/>
      <c r="H56" s="6" t="str">
        <f t="shared" si="1"/>
        <v>1</v>
      </c>
      <c r="I56" s="6"/>
      <c r="J56" s="10" t="str">
        <f>'traspo ñ alterar'!$B56</f>
        <v>15/3/26</v>
      </c>
      <c r="K56" s="6" t="str">
        <f t="shared" si="2"/>
        <v>Cantina prol GE</v>
      </c>
      <c r="L56" s="6" t="str">
        <f t="shared" si="3"/>
        <v/>
      </c>
      <c r="M56" s="6" t="str">
        <f t="shared" si="4"/>
        <v/>
      </c>
      <c r="N56" s="6" t="str">
        <f t="shared" si="5"/>
        <v>MOSTRAR</v>
      </c>
    </row>
    <row r="57" ht="15.75" customHeight="1">
      <c r="A57" s="1"/>
      <c r="B57" s="8" t="str">
        <f>Calendario!$B57</f>
        <v>18/3</v>
      </c>
      <c r="C57" s="3" t="str">
        <f>Calendario!$C57</f>
        <v>Wednesday</v>
      </c>
      <c r="D57" s="9" t="str">
        <f>Calendario!$D57</f>
        <v>Célula</v>
      </c>
      <c r="E57" s="5" t="str">
        <f>Calendario!$E57</f>
        <v/>
      </c>
      <c r="F57" s="5" t="str">
        <f>Calendario!$F57</f>
        <v/>
      </c>
      <c r="G57" s="5"/>
      <c r="H57" s="6" t="str">
        <f t="shared" si="1"/>
        <v>1</v>
      </c>
      <c r="I57" s="6"/>
      <c r="J57" s="10" t="str">
        <f>'traspo ñ alterar'!$B57</f>
        <v>18/3/26</v>
      </c>
      <c r="K57" s="6" t="str">
        <f t="shared" si="2"/>
        <v>Célula</v>
      </c>
      <c r="L57" s="6" t="str">
        <f t="shared" si="3"/>
        <v/>
      </c>
      <c r="M57" s="6" t="str">
        <f t="shared" si="4"/>
        <v/>
      </c>
      <c r="N57" s="6" t="str">
        <f t="shared" si="5"/>
        <v>MOSTRAR</v>
      </c>
    </row>
    <row r="58" ht="15.75" customHeight="1">
      <c r="A58" s="1"/>
      <c r="B58" s="8" t="str">
        <f>Calendario!$B58</f>
        <v>19/3</v>
      </c>
      <c r="C58" s="3" t="str">
        <f>Calendario!$C58</f>
        <v>Thursday</v>
      </c>
      <c r="D58" s="9" t="str">
        <f>Calendario!$D58</f>
        <v>Culto de homens</v>
      </c>
      <c r="E58" s="5" t="str">
        <f>Calendario!$E58</f>
        <v>Metokids</v>
      </c>
      <c r="F58" s="5" t="str">
        <f>Calendario!$F58</f>
        <v>SMH</v>
      </c>
      <c r="G58" s="5"/>
      <c r="H58" s="6" t="str">
        <f t="shared" si="1"/>
        <v>1</v>
      </c>
      <c r="I58" s="6"/>
      <c r="J58" s="10" t="str">
        <f>'traspo ñ alterar'!$B58</f>
        <v>19/3/26</v>
      </c>
      <c r="K58" s="6" t="str">
        <f t="shared" si="2"/>
        <v>Culto de homens</v>
      </c>
      <c r="L58" s="6" t="str">
        <f t="shared" si="3"/>
        <v/>
      </c>
      <c r="M58" s="6" t="str">
        <f t="shared" si="4"/>
        <v/>
      </c>
      <c r="N58" s="6" t="str">
        <f t="shared" si="5"/>
        <v>MOSTRAR</v>
      </c>
    </row>
    <row r="59" ht="15.75" customHeight="1">
      <c r="A59" s="1"/>
      <c r="B59" s="8" t="str">
        <f>Calendario!$B59</f>
        <v>22/3</v>
      </c>
      <c r="C59" s="3" t="str">
        <f>Calendario!$C59</f>
        <v>Sunday</v>
      </c>
      <c r="D59" s="9" t="str">
        <f>Calendario!$D59</f>
        <v>Culto missionário</v>
      </c>
      <c r="E59" s="5" t="str">
        <f>Calendario!$E59</f>
        <v/>
      </c>
      <c r="F59" s="5" t="str">
        <f>Calendario!$F59</f>
        <v>Pastoral</v>
      </c>
      <c r="G59" s="5"/>
      <c r="H59" s="6" t="str">
        <f t="shared" si="1"/>
        <v>1</v>
      </c>
      <c r="I59" s="6"/>
      <c r="J59" s="10" t="str">
        <f>'traspo ñ alterar'!$B59</f>
        <v>22/3/26</v>
      </c>
      <c r="K59" s="6" t="str">
        <f t="shared" si="2"/>
        <v>Culto missionário</v>
      </c>
      <c r="L59" s="6" t="str">
        <f t="shared" si="3"/>
        <v/>
      </c>
      <c r="M59" s="6" t="str">
        <f t="shared" si="4"/>
        <v/>
      </c>
      <c r="N59" s="6" t="str">
        <f t="shared" si="5"/>
        <v>MOSTRAR</v>
      </c>
    </row>
    <row r="60" ht="15.75" customHeight="1">
      <c r="A60" s="1"/>
      <c r="B60" s="8" t="str">
        <f>Calendario!$B60</f>
        <v>23/3</v>
      </c>
      <c r="C60" s="3" t="str">
        <f>Calendario!$C60</f>
        <v>Monday</v>
      </c>
      <c r="D60" s="9" t="str">
        <f>Calendario!$D60</f>
        <v>Clamor on line</v>
      </c>
      <c r="E60" s="5" t="str">
        <f>Calendario!$E60</f>
        <v/>
      </c>
      <c r="F60" s="5" t="str">
        <f>Calendario!$F60</f>
        <v>Intercessão</v>
      </c>
      <c r="G60" s="5"/>
      <c r="H60" s="6" t="str">
        <f t="shared" si="1"/>
        <v>1</v>
      </c>
      <c r="I60" s="6"/>
      <c r="J60" s="10" t="str">
        <f>'traspo ñ alterar'!$B60</f>
        <v>23/3/26</v>
      </c>
      <c r="K60" s="6" t="str">
        <f t="shared" si="2"/>
        <v>Clamor on line</v>
      </c>
      <c r="L60" s="6" t="str">
        <f t="shared" si="3"/>
        <v/>
      </c>
      <c r="M60" s="6" t="str">
        <f t="shared" si="4"/>
        <v/>
      </c>
      <c r="N60" s="6" t="str">
        <f t="shared" si="5"/>
        <v>MOSTRAR</v>
      </c>
    </row>
    <row r="61" ht="15.75" customHeight="1">
      <c r="A61" s="1"/>
      <c r="B61" s="8" t="str">
        <f>Calendario!$B61</f>
        <v>24/3</v>
      </c>
      <c r="C61" s="3" t="str">
        <f>Calendario!$C61</f>
        <v>Tuesday</v>
      </c>
      <c r="D61" s="9" t="str">
        <f>Calendario!$D61</f>
        <v>Clamor on line</v>
      </c>
      <c r="E61" s="5" t="str">
        <f>Calendario!$E61</f>
        <v/>
      </c>
      <c r="F61" s="5" t="str">
        <f>Calendario!$F61</f>
        <v>Intercessão</v>
      </c>
      <c r="G61" s="5"/>
      <c r="H61" s="6" t="str">
        <f t="shared" si="1"/>
        <v>1</v>
      </c>
      <c r="I61" s="6"/>
      <c r="J61" s="10" t="str">
        <f>'traspo ñ alterar'!$B61</f>
        <v>24/3/26</v>
      </c>
      <c r="K61" s="6" t="str">
        <f t="shared" si="2"/>
        <v>Clamor on line</v>
      </c>
      <c r="L61" s="6" t="str">
        <f t="shared" si="3"/>
        <v/>
      </c>
      <c r="M61" s="6" t="str">
        <f t="shared" si="4"/>
        <v/>
      </c>
      <c r="N61" s="6" t="str">
        <f t="shared" si="5"/>
        <v>MOSTRAR</v>
      </c>
    </row>
    <row r="62" ht="15.75" customHeight="1">
      <c r="A62" s="1"/>
      <c r="B62" s="8" t="str">
        <f>Calendario!$B62</f>
        <v>25/3</v>
      </c>
      <c r="C62" s="3" t="str">
        <f>Calendario!$C62</f>
        <v>Wednesday</v>
      </c>
      <c r="D62" s="9" t="str">
        <f>Calendario!$D62</f>
        <v>Clamor on line</v>
      </c>
      <c r="E62" s="5" t="str">
        <f>Calendario!$E62</f>
        <v/>
      </c>
      <c r="F62" s="5" t="str">
        <f>Calendario!$F62</f>
        <v>Intercessão</v>
      </c>
      <c r="G62" s="5"/>
      <c r="H62" s="6" t="str">
        <f t="shared" si="1"/>
        <v>1</v>
      </c>
      <c r="I62" s="6"/>
      <c r="J62" s="10" t="str">
        <f>'traspo ñ alterar'!$B62</f>
        <v>25/3/26</v>
      </c>
      <c r="K62" s="6" t="str">
        <f t="shared" si="2"/>
        <v>Clamor on line</v>
      </c>
      <c r="L62" s="6" t="str">
        <f t="shared" si="3"/>
        <v>Célula</v>
      </c>
      <c r="M62" s="6" t="str">
        <f t="shared" si="4"/>
        <v/>
      </c>
      <c r="N62" s="6" t="str">
        <f t="shared" si="5"/>
        <v>MOSTRAR</v>
      </c>
    </row>
    <row r="63" ht="15.75" customHeight="1">
      <c r="A63" s="1"/>
      <c r="B63" s="8" t="str">
        <f>Calendario!$B63</f>
        <v>25/3</v>
      </c>
      <c r="C63" s="3" t="str">
        <f>Calendario!$C63</f>
        <v>Wednesday</v>
      </c>
      <c r="D63" s="9" t="str">
        <f>Calendario!$D63</f>
        <v>Célula</v>
      </c>
      <c r="E63" s="5" t="str">
        <f>Calendario!$E63</f>
        <v/>
      </c>
      <c r="F63" s="5" t="str">
        <f>Calendario!$F63</f>
        <v/>
      </c>
      <c r="G63" s="5"/>
      <c r="H63" s="6" t="str">
        <f t="shared" si="1"/>
        <v>2</v>
      </c>
      <c r="I63" s="6"/>
      <c r="J63" s="10" t="str">
        <f>'traspo ñ alterar'!$B63</f>
        <v>25/3/26</v>
      </c>
      <c r="K63" s="6" t="str">
        <f t="shared" si="2"/>
        <v/>
      </c>
      <c r="L63" s="6" t="str">
        <f t="shared" si="3"/>
        <v/>
      </c>
      <c r="M63" s="6" t="str">
        <f t="shared" si="4"/>
        <v/>
      </c>
      <c r="N63" s="6" t="str">
        <f t="shared" si="5"/>
        <v>OCULTAR</v>
      </c>
    </row>
    <row r="64" ht="15.75" customHeight="1">
      <c r="A64" s="1"/>
      <c r="B64" s="8" t="str">
        <f>Calendario!$B64</f>
        <v>26/3</v>
      </c>
      <c r="C64" s="3" t="str">
        <f>Calendario!$C64</f>
        <v>Thursday</v>
      </c>
      <c r="D64" s="9" t="str">
        <f>Calendario!$D64</f>
        <v>Clamor on line</v>
      </c>
      <c r="E64" s="5" t="str">
        <f>Calendario!$E64</f>
        <v/>
      </c>
      <c r="F64" s="5" t="str">
        <f>Calendario!$F64</f>
        <v>Intercessão</v>
      </c>
      <c r="G64" s="5"/>
      <c r="H64" s="6" t="str">
        <f t="shared" si="1"/>
        <v>1</v>
      </c>
      <c r="I64" s="6"/>
      <c r="J64" s="10" t="str">
        <f>'traspo ñ alterar'!$B64</f>
        <v>26/3/26</v>
      </c>
      <c r="K64" s="6" t="str">
        <f t="shared" si="2"/>
        <v>Clamor on line</v>
      </c>
      <c r="L64" s="6" t="str">
        <f t="shared" si="3"/>
        <v/>
      </c>
      <c r="M64" s="6" t="str">
        <f t="shared" si="4"/>
        <v/>
      </c>
      <c r="N64" s="6" t="str">
        <f t="shared" si="5"/>
        <v>MOSTRAR</v>
      </c>
    </row>
    <row r="65" ht="15.75" customHeight="1">
      <c r="A65" s="1"/>
      <c r="B65" s="8" t="str">
        <f>Calendario!$B65</f>
        <v>27/3</v>
      </c>
      <c r="C65" s="3" t="str">
        <f>Calendario!$C65</f>
        <v>Friday</v>
      </c>
      <c r="D65" s="9" t="str">
        <f>Calendario!$D65</f>
        <v>Clamor on line</v>
      </c>
      <c r="E65" s="5" t="str">
        <f>Calendario!$E65</f>
        <v>Quadra</v>
      </c>
      <c r="F65" s="5" t="str">
        <f>Calendario!$F65</f>
        <v>Inteensos</v>
      </c>
      <c r="G65" s="5"/>
      <c r="H65" s="6" t="str">
        <f t="shared" si="1"/>
        <v>1</v>
      </c>
      <c r="I65" s="6"/>
      <c r="J65" s="10" t="str">
        <f>'traspo ñ alterar'!$B65</f>
        <v>27/3/26</v>
      </c>
      <c r="K65" s="6" t="str">
        <f t="shared" si="2"/>
        <v>Clamor on line</v>
      </c>
      <c r="L65" s="6" t="str">
        <f t="shared" si="3"/>
        <v>Sexta cabeceira</v>
      </c>
      <c r="M65" s="6" t="str">
        <f t="shared" si="4"/>
        <v/>
      </c>
      <c r="N65" s="6" t="str">
        <f t="shared" si="5"/>
        <v>MOSTRAR</v>
      </c>
    </row>
    <row r="66" ht="15.75" customHeight="1">
      <c r="A66" s="1"/>
      <c r="B66" s="8" t="str">
        <f>Calendario!$B66</f>
        <v>27/3</v>
      </c>
      <c r="C66" s="3" t="str">
        <f>Calendario!$C66</f>
        <v>Friday</v>
      </c>
      <c r="D66" s="9" t="str">
        <f>Calendario!$D66</f>
        <v>Sexta cabeceira</v>
      </c>
      <c r="E66" s="5" t="str">
        <f>Calendario!$E66</f>
        <v>Quadra</v>
      </c>
      <c r="F66" s="5" t="str">
        <f>Calendario!$F66</f>
        <v>Inteensos</v>
      </c>
      <c r="G66" s="5"/>
      <c r="H66" s="6" t="str">
        <f t="shared" si="1"/>
        <v>2</v>
      </c>
      <c r="I66" s="6"/>
      <c r="J66" s="10" t="str">
        <f>'traspo ñ alterar'!$B66</f>
        <v>27/3/26</v>
      </c>
      <c r="K66" s="6" t="str">
        <f t="shared" si="2"/>
        <v/>
      </c>
      <c r="L66" s="6" t="str">
        <f t="shared" si="3"/>
        <v/>
      </c>
      <c r="M66" s="6" t="str">
        <f t="shared" si="4"/>
        <v/>
      </c>
      <c r="N66" s="6" t="str">
        <f t="shared" si="5"/>
        <v>OCULTAR</v>
      </c>
    </row>
    <row r="67" ht="15.75" customHeight="1">
      <c r="A67" s="1"/>
      <c r="B67" s="8" t="str">
        <f>Calendario!$B67</f>
        <v>28/3</v>
      </c>
      <c r="C67" s="3" t="str">
        <f>Calendario!$C67</f>
        <v>Saturday</v>
      </c>
      <c r="D67" s="9" t="str">
        <f>Calendario!$D67</f>
        <v>Conferência da Família </v>
      </c>
      <c r="E67" s="5" t="str">
        <f>Calendario!$E67</f>
        <v>Templo</v>
      </c>
      <c r="F67" s="5" t="str">
        <f>Calendario!$F67</f>
        <v>EBD- Metokids</v>
      </c>
      <c r="G67" s="5"/>
      <c r="H67" s="6" t="str">
        <f t="shared" si="1"/>
        <v>1</v>
      </c>
      <c r="I67" s="6"/>
      <c r="J67" s="10" t="str">
        <f>'traspo ñ alterar'!$B67</f>
        <v>28/3/26</v>
      </c>
      <c r="K67" s="6" t="str">
        <f t="shared" si="2"/>
        <v>Conferência da Família </v>
      </c>
      <c r="L67" s="6" t="str">
        <f t="shared" si="3"/>
        <v/>
      </c>
      <c r="M67" s="6" t="str">
        <f t="shared" si="4"/>
        <v/>
      </c>
      <c r="N67" s="6" t="str">
        <f t="shared" si="5"/>
        <v>MOSTRAR</v>
      </c>
    </row>
    <row r="68" ht="15.75" customHeight="1">
      <c r="A68" s="1"/>
      <c r="B68" s="8" t="str">
        <f>Calendario!$B68</f>
        <v>29/3</v>
      </c>
      <c r="C68" s="3" t="str">
        <f>Calendario!$C68</f>
        <v>Sunday</v>
      </c>
      <c r="D68" s="9" t="str">
        <f>Calendario!$D68</f>
        <v>Conferência da Família</v>
      </c>
      <c r="E68" s="5" t="str">
        <f>Calendario!$E68</f>
        <v>Templo</v>
      </c>
      <c r="F68" s="5" t="str">
        <f>Calendario!$F68</f>
        <v>EBD- Metokids</v>
      </c>
      <c r="G68" s="5"/>
      <c r="H68" s="6" t="str">
        <f t="shared" si="1"/>
        <v>1</v>
      </c>
      <c r="I68" s="6"/>
      <c r="J68" s="10" t="str">
        <f>'traspo ñ alterar'!$B68</f>
        <v>29/3/26</v>
      </c>
      <c r="K68" s="6" t="str">
        <f t="shared" si="2"/>
        <v>Conferência da Família</v>
      </c>
      <c r="L68" s="6" t="str">
        <f t="shared" si="3"/>
        <v/>
      </c>
      <c r="M68" s="6" t="str">
        <f t="shared" si="4"/>
        <v/>
      </c>
      <c r="N68" s="6" t="str">
        <f t="shared" si="5"/>
        <v>MOSTRAR</v>
      </c>
    </row>
    <row r="69" ht="15.75" customHeight="1">
      <c r="A69" s="1"/>
      <c r="B69" s="8" t="str">
        <f>Calendario!$B69</f>
        <v>1/4</v>
      </c>
      <c r="C69" s="3" t="str">
        <f>Calendario!$C69</f>
        <v>Wednesday</v>
      </c>
      <c r="D69" s="9" t="str">
        <f>Calendario!$D69</f>
        <v>Célula</v>
      </c>
      <c r="E69" s="5" t="str">
        <f>Calendario!$E69</f>
        <v/>
      </c>
      <c r="F69" s="5" t="str">
        <f>Calendario!$F69</f>
        <v/>
      </c>
      <c r="G69" s="5"/>
      <c r="H69" s="6" t="str">
        <f t="shared" si="1"/>
        <v>1</v>
      </c>
      <c r="I69" s="6"/>
      <c r="J69" s="10" t="str">
        <f>'traspo ñ alterar'!$B69</f>
        <v>1/4/26</v>
      </c>
      <c r="K69" s="6" t="str">
        <f t="shared" si="2"/>
        <v>Célula</v>
      </c>
      <c r="L69" s="6" t="str">
        <f t="shared" si="3"/>
        <v/>
      </c>
      <c r="M69" s="6" t="str">
        <f t="shared" si="4"/>
        <v/>
      </c>
      <c r="N69" s="6" t="str">
        <f t="shared" si="5"/>
        <v>MOSTRAR</v>
      </c>
    </row>
    <row r="70" ht="15.75" customHeight="1">
      <c r="A70" s="1"/>
      <c r="B70" s="8" t="str">
        <f>Calendario!$B70</f>
        <v>2/4</v>
      </c>
      <c r="C70" s="3" t="str">
        <f>Calendario!$C70</f>
        <v>Thursday</v>
      </c>
      <c r="D70" s="9" t="str">
        <f>Calendario!$D70</f>
        <v>Futebol </v>
      </c>
      <c r="E70" s="5" t="str">
        <f>Calendario!$E70</f>
        <v>Fora das dependências da igreja</v>
      </c>
      <c r="F70" s="5" t="str">
        <f>Calendario!$F70</f>
        <v>SMH</v>
      </c>
      <c r="G70" s="5"/>
      <c r="H70" s="6" t="str">
        <f t="shared" si="1"/>
        <v>1</v>
      </c>
      <c r="I70" s="6"/>
      <c r="J70" s="10" t="str">
        <f>'traspo ñ alterar'!$B70</f>
        <v>2/4/26</v>
      </c>
      <c r="K70" s="6" t="str">
        <f t="shared" si="2"/>
        <v>Futebol </v>
      </c>
      <c r="L70" s="6" t="str">
        <f t="shared" si="3"/>
        <v/>
      </c>
      <c r="M70" s="6" t="str">
        <f t="shared" si="4"/>
        <v/>
      </c>
      <c r="N70" s="6" t="str">
        <f t="shared" si="5"/>
        <v>MOSTRAR</v>
      </c>
    </row>
    <row r="71" ht="15.75" customHeight="1">
      <c r="A71" s="1"/>
      <c r="B71" s="8" t="str">
        <f>Calendario!$B71</f>
        <v>3/4</v>
      </c>
      <c r="C71" s="3" t="str">
        <f>Calendario!$C71</f>
        <v>Friday</v>
      </c>
      <c r="D71" s="9" t="str">
        <f>Calendario!$D71</f>
        <v>Vigília</v>
      </c>
      <c r="E71" s="5" t="str">
        <f>Calendario!$E71</f>
        <v>Templo</v>
      </c>
      <c r="F71" s="5" t="str">
        <f>Calendario!$F71</f>
        <v>Intercessão</v>
      </c>
      <c r="G71" s="5"/>
      <c r="H71" s="6" t="str">
        <f t="shared" si="1"/>
        <v>1</v>
      </c>
      <c r="I71" s="6"/>
      <c r="J71" s="10" t="str">
        <f>'traspo ñ alterar'!$B71</f>
        <v>3/4/26</v>
      </c>
      <c r="K71" s="6" t="str">
        <f t="shared" si="2"/>
        <v>Vigília</v>
      </c>
      <c r="L71" s="6" t="str">
        <f t="shared" si="3"/>
        <v/>
      </c>
      <c r="M71" s="6" t="str">
        <f t="shared" si="4"/>
        <v/>
      </c>
      <c r="N71" s="6" t="str">
        <f t="shared" si="5"/>
        <v>MOSTRAR</v>
      </c>
    </row>
    <row r="72" ht="15.75" customHeight="1">
      <c r="A72" s="1"/>
      <c r="B72" s="8" t="str">
        <f>Calendario!$B72</f>
        <v>5/4</v>
      </c>
      <c r="C72" s="3" t="str">
        <f>Calendario!$C72</f>
        <v>Sunday</v>
      </c>
      <c r="D72" s="9" t="str">
        <f>Calendario!$D72</f>
        <v>Café da Manha de Páscoa</v>
      </c>
      <c r="E72" s="5" t="str">
        <f>Calendario!$E72</f>
        <v>Templo</v>
      </c>
      <c r="F72" s="5" t="str">
        <f>Calendario!$F72</f>
        <v>Pastoral</v>
      </c>
      <c r="G72" s="5"/>
      <c r="H72" s="6" t="str">
        <f t="shared" si="1"/>
        <v>1</v>
      </c>
      <c r="I72" s="6"/>
      <c r="J72" s="10" t="str">
        <f>'traspo ñ alterar'!$B72</f>
        <v>5/4/26</v>
      </c>
      <c r="K72" s="6" t="str">
        <f t="shared" si="2"/>
        <v>Café da Manha de Páscoa</v>
      </c>
      <c r="L72" s="6" t="str">
        <f t="shared" si="3"/>
        <v>Teatro de Páscoa</v>
      </c>
      <c r="M72" s="6" t="str">
        <f t="shared" si="4"/>
        <v>Culto em Rio Brilhante</v>
      </c>
      <c r="N72" s="6" t="str">
        <f t="shared" si="5"/>
        <v>MOSTRAR</v>
      </c>
    </row>
    <row r="73" ht="15.75" customHeight="1">
      <c r="A73" s="1"/>
      <c r="B73" s="8" t="str">
        <f>Calendario!$B73</f>
        <v>5/4</v>
      </c>
      <c r="C73" s="3" t="str">
        <f>Calendario!$C73</f>
        <v>Sunday</v>
      </c>
      <c r="D73" s="9" t="str">
        <f>Calendario!$D73</f>
        <v>Teatro de Páscoa</v>
      </c>
      <c r="E73" s="5" t="str">
        <f>Calendario!$E73</f>
        <v/>
      </c>
      <c r="F73" s="5" t="str">
        <f>Calendario!$F73</f>
        <v>SMM</v>
      </c>
      <c r="G73" s="5"/>
      <c r="H73" s="6" t="str">
        <f t="shared" si="1"/>
        <v>2</v>
      </c>
      <c r="I73" s="6"/>
      <c r="J73" s="10" t="str">
        <f>'traspo ñ alterar'!$B73</f>
        <v>5/4/26</v>
      </c>
      <c r="K73" s="6" t="str">
        <f t="shared" si="2"/>
        <v/>
      </c>
      <c r="L73" s="6" t="str">
        <f t="shared" si="3"/>
        <v/>
      </c>
      <c r="M73" s="6" t="str">
        <f t="shared" si="4"/>
        <v/>
      </c>
      <c r="N73" s="6" t="str">
        <f t="shared" si="5"/>
        <v>OCULTAR</v>
      </c>
    </row>
    <row r="74" ht="15.75" customHeight="1">
      <c r="A74" s="1"/>
      <c r="B74" s="8" t="str">
        <f>Calendario!$B74</f>
        <v>5/4</v>
      </c>
      <c r="C74" s="3" t="str">
        <f>Calendario!$C74</f>
        <v>Sunday</v>
      </c>
      <c r="D74" s="9" t="str">
        <f>Calendario!$D74</f>
        <v>Culto em Rio Brilhante</v>
      </c>
      <c r="E74" s="5" t="str">
        <f>Calendario!$E74</f>
        <v/>
      </c>
      <c r="F74" s="5" t="str">
        <f>Calendario!$F74</f>
        <v/>
      </c>
      <c r="G74" s="5"/>
      <c r="H74" s="6" t="str">
        <f t="shared" si="1"/>
        <v>3</v>
      </c>
      <c r="I74" s="6"/>
      <c r="J74" s="10" t="str">
        <f>'traspo ñ alterar'!$B74</f>
        <v>5/4/26</v>
      </c>
      <c r="K74" s="6" t="str">
        <f t="shared" si="2"/>
        <v/>
      </c>
      <c r="L74" s="6" t="str">
        <f t="shared" si="3"/>
        <v/>
      </c>
      <c r="M74" s="6" t="str">
        <f t="shared" si="4"/>
        <v/>
      </c>
      <c r="N74" s="6" t="str">
        <f t="shared" si="5"/>
        <v>OCULTAR</v>
      </c>
    </row>
    <row r="75" ht="15.75" customHeight="1">
      <c r="A75" s="1"/>
      <c r="B75" s="8" t="str">
        <f>Calendario!$B75</f>
        <v>8/4</v>
      </c>
      <c r="C75" s="3" t="str">
        <f>Calendario!$C75</f>
        <v>Wednesday</v>
      </c>
      <c r="D75" s="9" t="str">
        <f>Calendario!$D75</f>
        <v>Célula</v>
      </c>
      <c r="E75" s="5" t="str">
        <f>Calendario!$E75</f>
        <v/>
      </c>
      <c r="F75" s="5" t="str">
        <f>Calendario!$F75</f>
        <v/>
      </c>
      <c r="G75" s="5"/>
      <c r="H75" s="6" t="str">
        <f t="shared" si="1"/>
        <v>1</v>
      </c>
      <c r="I75" s="6"/>
      <c r="J75" s="10" t="str">
        <f>'traspo ñ alterar'!$B75</f>
        <v>8/4/26</v>
      </c>
      <c r="K75" s="6" t="str">
        <f t="shared" si="2"/>
        <v>Célula</v>
      </c>
      <c r="L75" s="6" t="str">
        <f t="shared" si="3"/>
        <v/>
      </c>
      <c r="M75" s="6" t="str">
        <f t="shared" si="4"/>
        <v/>
      </c>
      <c r="N75" s="6" t="str">
        <f t="shared" si="5"/>
        <v>MOSTRAR</v>
      </c>
    </row>
    <row r="76" ht="15.75" customHeight="1">
      <c r="A76" s="1"/>
      <c r="B76" s="8" t="str">
        <f>Calendario!$B76</f>
        <v>9/4</v>
      </c>
      <c r="C76" s="3" t="str">
        <f>Calendario!$C76</f>
        <v>Thursday</v>
      </c>
      <c r="D76" s="9" t="str">
        <f>Calendario!$D76</f>
        <v>Encontro Mensal de Mulheres</v>
      </c>
      <c r="E76" s="5" t="str">
        <f>Calendario!$E76</f>
        <v/>
      </c>
      <c r="F76" s="5" t="str">
        <f>Calendario!$F76</f>
        <v>SMM</v>
      </c>
      <c r="G76" s="5"/>
      <c r="H76" s="6" t="str">
        <f t="shared" si="1"/>
        <v>1</v>
      </c>
      <c r="I76" s="6"/>
      <c r="J76" s="10" t="str">
        <f>'traspo ñ alterar'!$B76</f>
        <v>9/4/26</v>
      </c>
      <c r="K76" s="6" t="str">
        <f t="shared" si="2"/>
        <v>Encontro Mensal de Mulheres</v>
      </c>
      <c r="L76" s="6" t="str">
        <f t="shared" si="3"/>
        <v/>
      </c>
      <c r="M76" s="6" t="str">
        <f t="shared" si="4"/>
        <v/>
      </c>
      <c r="N76" s="6" t="str">
        <f t="shared" si="5"/>
        <v>MOSTRAR</v>
      </c>
    </row>
    <row r="77" ht="15.75" customHeight="1">
      <c r="A77" s="1"/>
      <c r="B77" s="8" t="str">
        <f>Calendario!$B77</f>
        <v>10/4</v>
      </c>
      <c r="C77" s="3" t="str">
        <f>Calendario!$C77</f>
        <v>Friday</v>
      </c>
      <c r="D77" s="9" t="str">
        <f>Calendario!$D77</f>
        <v>Sexta cabeceira</v>
      </c>
      <c r="E77" s="5" t="str">
        <f>Calendario!$E77</f>
        <v>Quadra</v>
      </c>
      <c r="F77" s="5" t="str">
        <f>Calendario!$F77</f>
        <v>Inteensos</v>
      </c>
      <c r="G77" s="5"/>
      <c r="H77" s="6" t="str">
        <f t="shared" si="1"/>
        <v>1</v>
      </c>
      <c r="I77" s="6"/>
      <c r="J77" s="10" t="str">
        <f>'traspo ñ alterar'!$B77</f>
        <v>10/4/26</v>
      </c>
      <c r="K77" s="6" t="str">
        <f t="shared" si="2"/>
        <v>Sexta cabeceira</v>
      </c>
      <c r="L77" s="6" t="str">
        <f t="shared" si="3"/>
        <v/>
      </c>
      <c r="M77" s="6" t="str">
        <f t="shared" si="4"/>
        <v/>
      </c>
      <c r="N77" s="6" t="str">
        <f t="shared" si="5"/>
        <v>MOSTRAR</v>
      </c>
    </row>
    <row r="78" ht="15.75" customHeight="1">
      <c r="A78" s="1"/>
      <c r="B78" s="8" t="str">
        <f>Calendario!$B78</f>
        <v>11/4</v>
      </c>
      <c r="C78" s="3" t="str">
        <f>Calendario!$C78</f>
        <v>Saturday</v>
      </c>
      <c r="D78" s="9" t="str">
        <f>Calendario!$D78</f>
        <v>Relogio de oração</v>
      </c>
      <c r="E78" s="5" t="str">
        <f>Calendario!$E78</f>
        <v/>
      </c>
      <c r="F78" s="5" t="str">
        <f>Calendario!$F78</f>
        <v>Intercessão</v>
      </c>
      <c r="G78" s="5"/>
      <c r="H78" s="6" t="str">
        <f t="shared" si="1"/>
        <v>1</v>
      </c>
      <c r="I78" s="6"/>
      <c r="J78" s="10" t="str">
        <f>'traspo ñ alterar'!$B78</f>
        <v>11/4/26</v>
      </c>
      <c r="K78" s="6" t="str">
        <f t="shared" si="2"/>
        <v>Relogio de oração</v>
      </c>
      <c r="L78" s="6" t="str">
        <f t="shared" si="3"/>
        <v>Inteensos</v>
      </c>
      <c r="M78" s="6" t="str">
        <f t="shared" si="4"/>
        <v/>
      </c>
      <c r="N78" s="6" t="str">
        <f t="shared" si="5"/>
        <v>MOSTRAR</v>
      </c>
    </row>
    <row r="79" ht="15.75" customHeight="1">
      <c r="A79" s="1"/>
      <c r="B79" s="8" t="str">
        <f>Calendario!$B79</f>
        <v>11/4</v>
      </c>
      <c r="C79" s="3" t="str">
        <f>Calendario!$C79</f>
        <v>Saturday</v>
      </c>
      <c r="D79" s="9" t="str">
        <f>Calendario!$D79</f>
        <v>Inteensos</v>
      </c>
      <c r="E79" s="5" t="str">
        <f>Calendario!$E79</f>
        <v>Templo</v>
      </c>
      <c r="F79" s="5" t="str">
        <f>Calendario!$F79</f>
        <v>Inteensos</v>
      </c>
      <c r="G79" s="5"/>
      <c r="H79" s="6" t="str">
        <f t="shared" si="1"/>
        <v>2</v>
      </c>
      <c r="I79" s="6"/>
      <c r="J79" s="10" t="str">
        <f>'traspo ñ alterar'!$B79</f>
        <v>11/4/26</v>
      </c>
      <c r="K79" s="6" t="str">
        <f t="shared" si="2"/>
        <v/>
      </c>
      <c r="L79" s="6" t="str">
        <f t="shared" si="3"/>
        <v/>
      </c>
      <c r="M79" s="6" t="str">
        <f t="shared" si="4"/>
        <v/>
      </c>
      <c r="N79" s="6" t="str">
        <f t="shared" si="5"/>
        <v>OCULTAR</v>
      </c>
    </row>
    <row r="80" ht="15.75" customHeight="1">
      <c r="A80" s="1"/>
      <c r="B80" s="8" t="str">
        <f>Calendario!$B80</f>
        <v>12/4</v>
      </c>
      <c r="C80" s="3" t="str">
        <f>Calendario!$C80</f>
        <v>Sunday</v>
      </c>
      <c r="D80" s="9" t="str">
        <f>Calendario!$D80</f>
        <v>Dia do Pastor Metodista</v>
      </c>
      <c r="E80" s="5" t="str">
        <f>Calendario!$E80</f>
        <v>Templo</v>
      </c>
      <c r="F80" s="5" t="str">
        <f>Calendario!$F80</f>
        <v>EBD- SMM - Intercessão</v>
      </c>
      <c r="G80" s="5"/>
      <c r="H80" s="6" t="str">
        <f t="shared" si="1"/>
        <v>1</v>
      </c>
      <c r="I80" s="6"/>
      <c r="J80" s="10" t="str">
        <f>'traspo ñ alterar'!$B80</f>
        <v>12/4/26</v>
      </c>
      <c r="K80" s="6" t="str">
        <f t="shared" si="2"/>
        <v>Dia do Pastor Metodista</v>
      </c>
      <c r="L80" s="6" t="str">
        <f t="shared" si="3"/>
        <v>Cantina prol GE</v>
      </c>
      <c r="M80" s="6" t="str">
        <f t="shared" si="4"/>
        <v/>
      </c>
      <c r="N80" s="6" t="str">
        <f t="shared" si="5"/>
        <v>MOSTRAR</v>
      </c>
    </row>
    <row r="81" ht="15.75" customHeight="1">
      <c r="A81" s="1"/>
      <c r="B81" s="8" t="str">
        <f>Calendario!$B81</f>
        <v>12/4</v>
      </c>
      <c r="C81" s="3" t="str">
        <f>Calendario!$C81</f>
        <v>Sunday</v>
      </c>
      <c r="D81" s="9" t="str">
        <f>Calendario!$D81</f>
        <v>Cantina prol GE</v>
      </c>
      <c r="E81" s="5" t="str">
        <f>Calendario!$E81</f>
        <v>A definir</v>
      </c>
      <c r="F81" s="5" t="str">
        <f>Calendario!$F81</f>
        <v>Inteensos</v>
      </c>
      <c r="G81" s="5"/>
      <c r="H81" s="6" t="str">
        <f t="shared" si="1"/>
        <v>2</v>
      </c>
      <c r="I81" s="6"/>
      <c r="J81" s="10" t="str">
        <f>'traspo ñ alterar'!$B81</f>
        <v>12/4/26</v>
      </c>
      <c r="K81" s="6" t="str">
        <f t="shared" si="2"/>
        <v/>
      </c>
      <c r="L81" s="6" t="str">
        <f t="shared" si="3"/>
        <v/>
      </c>
      <c r="M81" s="6" t="str">
        <f t="shared" si="4"/>
        <v/>
      </c>
      <c r="N81" s="6" t="str">
        <f t="shared" si="5"/>
        <v>OCULTAR</v>
      </c>
    </row>
    <row r="82" ht="15.75" customHeight="1">
      <c r="A82" s="1"/>
      <c r="B82" s="8" t="str">
        <f>Calendario!$B82</f>
        <v>15/4</v>
      </c>
      <c r="C82" s="3" t="str">
        <f>Calendario!$C82</f>
        <v>Wednesday</v>
      </c>
      <c r="D82" s="9" t="str">
        <f>Calendario!$D82</f>
        <v>Célula</v>
      </c>
      <c r="E82" s="5" t="str">
        <f>Calendario!$E82</f>
        <v/>
      </c>
      <c r="F82" s="5" t="str">
        <f>Calendario!$F82</f>
        <v/>
      </c>
      <c r="G82" s="5"/>
      <c r="H82" s="6" t="str">
        <f t="shared" si="1"/>
        <v>1</v>
      </c>
      <c r="I82" s="6"/>
      <c r="J82" s="10" t="str">
        <f>'traspo ñ alterar'!$B82</f>
        <v>15/4/26</v>
      </c>
      <c r="K82" s="6" t="str">
        <f t="shared" si="2"/>
        <v>Célula</v>
      </c>
      <c r="L82" s="6" t="str">
        <f t="shared" si="3"/>
        <v/>
      </c>
      <c r="M82" s="6" t="str">
        <f t="shared" si="4"/>
        <v/>
      </c>
      <c r="N82" s="6" t="str">
        <f t="shared" si="5"/>
        <v>MOSTRAR</v>
      </c>
    </row>
    <row r="83" ht="15.75" customHeight="1">
      <c r="A83" s="1"/>
      <c r="B83" s="8" t="str">
        <f>Calendario!$B83</f>
        <v>16/4</v>
      </c>
      <c r="C83" s="3" t="str">
        <f>Calendario!$C83</f>
        <v>Thursday</v>
      </c>
      <c r="D83" s="9" t="str">
        <f>Calendario!$D83</f>
        <v>Culto de homens</v>
      </c>
      <c r="E83" s="5" t="str">
        <f>Calendario!$E83</f>
        <v>Metokids</v>
      </c>
      <c r="F83" s="5" t="str">
        <f>Calendario!$F83</f>
        <v>SMH</v>
      </c>
      <c r="G83" s="5"/>
      <c r="H83" s="6" t="str">
        <f t="shared" si="1"/>
        <v>1</v>
      </c>
      <c r="I83" s="6"/>
      <c r="J83" s="10" t="str">
        <f>'traspo ñ alterar'!$B83</f>
        <v>16/4/26</v>
      </c>
      <c r="K83" s="6" t="str">
        <f t="shared" si="2"/>
        <v>Culto de homens</v>
      </c>
      <c r="L83" s="6" t="str">
        <f t="shared" si="3"/>
        <v/>
      </c>
      <c r="M83" s="6" t="str">
        <f t="shared" si="4"/>
        <v/>
      </c>
      <c r="N83" s="6" t="str">
        <f t="shared" si="5"/>
        <v>MOSTRAR</v>
      </c>
    </row>
    <row r="84" ht="15.75" customHeight="1">
      <c r="A84" s="1"/>
      <c r="B84" s="8" t="str">
        <f>Calendario!$B84</f>
        <v>17/4</v>
      </c>
      <c r="C84" s="3" t="str">
        <f>Calendario!$C84</f>
        <v>Friday</v>
      </c>
      <c r="D84" s="9" t="str">
        <f>Calendario!$D84</f>
        <v>Sexta cabeceira</v>
      </c>
      <c r="E84" s="5" t="str">
        <f>Calendario!$E84</f>
        <v>Quadra</v>
      </c>
      <c r="F84" s="5" t="str">
        <f>Calendario!$F84</f>
        <v>Inteensos</v>
      </c>
      <c r="G84" s="5"/>
      <c r="H84" s="6" t="str">
        <f t="shared" si="1"/>
        <v>1</v>
      </c>
      <c r="I84" s="6"/>
      <c r="J84" s="10" t="str">
        <f>'traspo ñ alterar'!$B84</f>
        <v>17/4/26</v>
      </c>
      <c r="K84" s="6" t="str">
        <f t="shared" si="2"/>
        <v>Sexta cabeceira</v>
      </c>
      <c r="L84" s="6" t="str">
        <f t="shared" si="3"/>
        <v/>
      </c>
      <c r="M84" s="6" t="str">
        <f t="shared" si="4"/>
        <v/>
      </c>
      <c r="N84" s="6" t="str">
        <f t="shared" si="5"/>
        <v>MOSTRAR</v>
      </c>
    </row>
    <row r="85" ht="15.75" customHeight="1">
      <c r="A85" s="1"/>
      <c r="B85" s="8" t="str">
        <f>Calendario!$B85</f>
        <v>20/4</v>
      </c>
      <c r="C85" s="3" t="str">
        <f>Calendario!$C85</f>
        <v>Monday</v>
      </c>
      <c r="D85" s="9" t="str">
        <f>Calendario!$D85</f>
        <v>Clamor on line</v>
      </c>
      <c r="E85" s="5" t="str">
        <f>Calendario!$E85</f>
        <v/>
      </c>
      <c r="F85" s="5" t="str">
        <f>Calendario!$F85</f>
        <v/>
      </c>
      <c r="G85" s="5"/>
      <c r="H85" s="6" t="str">
        <f t="shared" si="1"/>
        <v>1</v>
      </c>
      <c r="I85" s="6"/>
      <c r="J85" s="10" t="str">
        <f>'traspo ñ alterar'!$B85</f>
        <v>20/4/26</v>
      </c>
      <c r="K85" s="6" t="str">
        <f t="shared" si="2"/>
        <v>Clamor on line</v>
      </c>
      <c r="L85" s="6" t="str">
        <f t="shared" si="3"/>
        <v/>
      </c>
      <c r="M85" s="6" t="str">
        <f t="shared" si="4"/>
        <v/>
      </c>
      <c r="N85" s="6" t="str">
        <f t="shared" si="5"/>
        <v>MOSTRAR</v>
      </c>
    </row>
    <row r="86" ht="15.75" customHeight="1">
      <c r="A86" s="1"/>
      <c r="B86" s="8" t="str">
        <f>Calendario!$B86</f>
        <v>21/4</v>
      </c>
      <c r="C86" s="3" t="str">
        <f>Calendario!$C86</f>
        <v>Tuesday</v>
      </c>
      <c r="D86" s="9" t="str">
        <f>Calendario!$D86</f>
        <v>Clamor on line</v>
      </c>
      <c r="E86" s="5" t="str">
        <f>Calendario!$E86</f>
        <v/>
      </c>
      <c r="F86" s="5" t="str">
        <f>Calendario!$F86</f>
        <v/>
      </c>
      <c r="G86" s="5"/>
      <c r="H86" s="6" t="str">
        <f t="shared" si="1"/>
        <v>1</v>
      </c>
      <c r="I86" s="6"/>
      <c r="J86" s="10" t="str">
        <f>'traspo ñ alterar'!$B86</f>
        <v>21/4/26</v>
      </c>
      <c r="K86" s="6" t="str">
        <f t="shared" si="2"/>
        <v>Clamor on line</v>
      </c>
      <c r="L86" s="6" t="str">
        <f t="shared" si="3"/>
        <v/>
      </c>
      <c r="M86" s="6" t="str">
        <f t="shared" si="4"/>
        <v/>
      </c>
      <c r="N86" s="6" t="str">
        <f t="shared" si="5"/>
        <v>MOSTRAR</v>
      </c>
    </row>
    <row r="87" ht="15.75" customHeight="1">
      <c r="A87" s="1"/>
      <c r="B87" s="8" t="str">
        <f>Calendario!$B87</f>
        <v>22/4</v>
      </c>
      <c r="C87" s="3" t="str">
        <f>Calendario!$C87</f>
        <v>Wednesday</v>
      </c>
      <c r="D87" s="9" t="str">
        <f>Calendario!$D87</f>
        <v>Célula</v>
      </c>
      <c r="E87" s="5" t="str">
        <f>Calendario!$E87</f>
        <v/>
      </c>
      <c r="F87" s="5" t="str">
        <f>Calendario!$F87</f>
        <v/>
      </c>
      <c r="G87" s="5"/>
      <c r="H87" s="6" t="str">
        <f t="shared" si="1"/>
        <v>1</v>
      </c>
      <c r="I87" s="6"/>
      <c r="J87" s="10" t="str">
        <f>'traspo ñ alterar'!$B87</f>
        <v>22/4/26</v>
      </c>
      <c r="K87" s="6" t="str">
        <f t="shared" si="2"/>
        <v>Célula</v>
      </c>
      <c r="L87" s="6" t="str">
        <f t="shared" si="3"/>
        <v>Clamor on line</v>
      </c>
      <c r="M87" s="6" t="str">
        <f t="shared" si="4"/>
        <v/>
      </c>
      <c r="N87" s="6" t="str">
        <f t="shared" si="5"/>
        <v>MOSTRAR</v>
      </c>
    </row>
    <row r="88" ht="15.75" customHeight="1">
      <c r="A88" s="1"/>
      <c r="B88" s="8" t="str">
        <f>Calendario!$B88</f>
        <v>22/4</v>
      </c>
      <c r="C88" s="3" t="str">
        <f>Calendario!$C88</f>
        <v>Wednesday</v>
      </c>
      <c r="D88" s="9" t="str">
        <f>Calendario!$D88</f>
        <v>Clamor on line</v>
      </c>
      <c r="E88" s="5" t="str">
        <f>Calendario!$E88</f>
        <v/>
      </c>
      <c r="F88" s="5" t="str">
        <f>Calendario!$F88</f>
        <v/>
      </c>
      <c r="G88" s="5"/>
      <c r="H88" s="6" t="str">
        <f t="shared" si="1"/>
        <v>2</v>
      </c>
      <c r="I88" s="6"/>
      <c r="J88" s="10" t="str">
        <f>'traspo ñ alterar'!$B88</f>
        <v>22/4/26</v>
      </c>
      <c r="K88" s="6" t="str">
        <f t="shared" si="2"/>
        <v/>
      </c>
      <c r="L88" s="6" t="str">
        <f t="shared" si="3"/>
        <v/>
      </c>
      <c r="M88" s="6" t="str">
        <f t="shared" si="4"/>
        <v/>
      </c>
      <c r="N88" s="6" t="str">
        <f t="shared" si="5"/>
        <v>OCULTAR</v>
      </c>
    </row>
    <row r="89" ht="15.75" customHeight="1">
      <c r="A89" s="1"/>
      <c r="B89" s="8" t="str">
        <f>Calendario!$B89</f>
        <v>23/4</v>
      </c>
      <c r="C89" s="3" t="str">
        <f>Calendario!$C89</f>
        <v>Thursday</v>
      </c>
      <c r="D89" s="9" t="str">
        <f>Calendario!$D89</f>
        <v>Clamor on line</v>
      </c>
      <c r="E89" s="5" t="str">
        <f>Calendario!$E89</f>
        <v/>
      </c>
      <c r="F89" s="5" t="str">
        <f>Calendario!$F89</f>
        <v/>
      </c>
      <c r="G89" s="5"/>
      <c r="H89" s="6" t="str">
        <f t="shared" si="1"/>
        <v>1</v>
      </c>
      <c r="I89" s="6"/>
      <c r="J89" s="10" t="str">
        <f>'traspo ñ alterar'!$B89</f>
        <v>23/4/26</v>
      </c>
      <c r="K89" s="6" t="str">
        <f t="shared" si="2"/>
        <v>Clamor on line</v>
      </c>
      <c r="L89" s="6" t="str">
        <f t="shared" si="3"/>
        <v/>
      </c>
      <c r="M89" s="6" t="str">
        <f t="shared" si="4"/>
        <v/>
      </c>
      <c r="N89" s="6" t="str">
        <f t="shared" si="5"/>
        <v>MOSTRAR</v>
      </c>
    </row>
    <row r="90" ht="15.75" customHeight="1">
      <c r="A90" s="1"/>
      <c r="B90" s="8" t="str">
        <f>Calendario!$B90</f>
        <v>24/4</v>
      </c>
      <c r="C90" s="3" t="str">
        <f>Calendario!$C90</f>
        <v>Friday</v>
      </c>
      <c r="D90" s="9" t="str">
        <f>Calendario!$D90</f>
        <v>Sexta cabeceira</v>
      </c>
      <c r="E90" s="5" t="str">
        <f>Calendario!$E90</f>
        <v>Quadra</v>
      </c>
      <c r="F90" s="5" t="str">
        <f>Calendario!$F90</f>
        <v>Inteensos</v>
      </c>
      <c r="G90" s="5"/>
      <c r="H90" s="6" t="str">
        <f t="shared" si="1"/>
        <v>1</v>
      </c>
      <c r="I90" s="6"/>
      <c r="J90" s="10" t="str">
        <f>'traspo ñ alterar'!$B90</f>
        <v>24/4/26</v>
      </c>
      <c r="K90" s="6" t="str">
        <f t="shared" si="2"/>
        <v>Sexta cabeceira</v>
      </c>
      <c r="L90" s="6" t="str">
        <f t="shared" si="3"/>
        <v>Clamor on line</v>
      </c>
      <c r="M90" s="6" t="str">
        <f t="shared" si="4"/>
        <v/>
      </c>
      <c r="N90" s="6" t="str">
        <f t="shared" si="5"/>
        <v>MOSTRAR</v>
      </c>
    </row>
    <row r="91" ht="15.75" customHeight="1">
      <c r="A91" s="1"/>
      <c r="B91" s="8" t="str">
        <f>Calendario!$B91</f>
        <v>24/4</v>
      </c>
      <c r="C91" s="3" t="str">
        <f>Calendario!$C91</f>
        <v>Friday</v>
      </c>
      <c r="D91" s="9" t="str">
        <f>Calendario!$D91</f>
        <v>Clamor on line</v>
      </c>
      <c r="E91" s="5" t="str">
        <f>Calendario!$E91</f>
        <v/>
      </c>
      <c r="F91" s="5" t="str">
        <f>Calendario!$F91</f>
        <v/>
      </c>
      <c r="G91" s="5"/>
      <c r="H91" s="6" t="str">
        <f t="shared" si="1"/>
        <v>2</v>
      </c>
      <c r="I91" s="6"/>
      <c r="J91" s="10" t="str">
        <f>'traspo ñ alterar'!$B91</f>
        <v>24/4/26</v>
      </c>
      <c r="K91" s="6" t="str">
        <f t="shared" si="2"/>
        <v/>
      </c>
      <c r="L91" s="6" t="str">
        <f t="shared" si="3"/>
        <v/>
      </c>
      <c r="M91" s="6" t="str">
        <f t="shared" si="4"/>
        <v/>
      </c>
      <c r="N91" s="6" t="str">
        <f t="shared" si="5"/>
        <v>OCULTAR</v>
      </c>
    </row>
    <row r="92" ht="15.75" customHeight="1">
      <c r="A92" s="1"/>
      <c r="B92" s="8" t="str">
        <f>Calendario!$B92</f>
        <v>25/4</v>
      </c>
      <c r="C92" s="3" t="str">
        <f>Calendario!$C92</f>
        <v>Saturday</v>
      </c>
      <c r="D92" s="9" t="str">
        <f>Calendario!$D92</f>
        <v>Conferência de Discipulado</v>
      </c>
      <c r="E92" s="5" t="str">
        <f>Calendario!$E92</f>
        <v/>
      </c>
      <c r="F92" s="5" t="str">
        <f>Calendario!$F92</f>
        <v>Secretaria do discipulado</v>
      </c>
      <c r="G92" s="5"/>
      <c r="H92" s="6" t="str">
        <f t="shared" si="1"/>
        <v>1</v>
      </c>
      <c r="I92" s="6"/>
      <c r="J92" s="10" t="str">
        <f>'traspo ñ alterar'!$B92</f>
        <v>25/4/26</v>
      </c>
      <c r="K92" s="6" t="str">
        <f t="shared" si="2"/>
        <v>Conferência de Discipulado</v>
      </c>
      <c r="L92" s="6" t="str">
        <f t="shared" si="3"/>
        <v/>
      </c>
      <c r="M92" s="6" t="str">
        <f t="shared" si="4"/>
        <v/>
      </c>
      <c r="N92" s="6" t="str">
        <f t="shared" si="5"/>
        <v>MOSTRAR</v>
      </c>
    </row>
    <row r="93" ht="15.75" customHeight="1">
      <c r="A93" s="1"/>
      <c r="B93" s="8" t="str">
        <f>Calendario!$B93</f>
        <v>26/4</v>
      </c>
      <c r="C93" s="3" t="str">
        <f>Calendario!$C93</f>
        <v>Sunday</v>
      </c>
      <c r="D93" s="9" t="str">
        <f>Calendario!$D93</f>
        <v>Conferência de Discipulado</v>
      </c>
      <c r="E93" s="5" t="str">
        <f>Calendario!$E93</f>
        <v/>
      </c>
      <c r="F93" s="5" t="str">
        <f>Calendario!$F93</f>
        <v>Secretaria do discipulado</v>
      </c>
      <c r="G93" s="5"/>
      <c r="H93" s="6" t="str">
        <f t="shared" si="1"/>
        <v>1</v>
      </c>
      <c r="I93" s="6"/>
      <c r="J93" s="10" t="str">
        <f>'traspo ñ alterar'!$B93</f>
        <v>26/4/26</v>
      </c>
      <c r="K93" s="6" t="str">
        <f t="shared" si="2"/>
        <v>Conferência de Discipulado</v>
      </c>
      <c r="L93" s="6" t="str">
        <f t="shared" si="3"/>
        <v>Oficina de chocolate</v>
      </c>
      <c r="M93" s="6" t="str">
        <f t="shared" si="4"/>
        <v>Culto missionário</v>
      </c>
      <c r="N93" s="6" t="str">
        <f t="shared" si="5"/>
        <v>MOSTRAR</v>
      </c>
    </row>
    <row r="94" ht="15.75" customHeight="1">
      <c r="A94" s="1"/>
      <c r="B94" s="8" t="str">
        <f>Calendario!$B94</f>
        <v>26/4</v>
      </c>
      <c r="C94" s="3" t="str">
        <f>Calendario!$C94</f>
        <v>Sunday</v>
      </c>
      <c r="D94" s="9" t="str">
        <f>Calendario!$D94</f>
        <v>Oficina de chocolate</v>
      </c>
      <c r="E94" s="5" t="str">
        <f>Calendario!$E94</f>
        <v>Metokids</v>
      </c>
      <c r="F94" s="5" t="str">
        <f>Calendario!$F94</f>
        <v>Metokids</v>
      </c>
      <c r="G94" s="5"/>
      <c r="H94" s="6" t="str">
        <f t="shared" si="1"/>
        <v>2</v>
      </c>
      <c r="I94" s="6"/>
      <c r="J94" s="10" t="str">
        <f>'traspo ñ alterar'!$B94</f>
        <v>26/4/26</v>
      </c>
      <c r="K94" s="6" t="str">
        <f t="shared" si="2"/>
        <v/>
      </c>
      <c r="L94" s="6" t="str">
        <f t="shared" si="3"/>
        <v/>
      </c>
      <c r="M94" s="6" t="str">
        <f t="shared" si="4"/>
        <v/>
      </c>
      <c r="N94" s="6" t="str">
        <f t="shared" si="5"/>
        <v>OCULTAR</v>
      </c>
    </row>
    <row r="95" ht="15.75" customHeight="1">
      <c r="A95" s="1"/>
      <c r="B95" s="8" t="str">
        <f>Calendario!$B95</f>
        <v>26/4</v>
      </c>
      <c r="C95" s="3" t="str">
        <f>Calendario!$C95</f>
        <v>Sunday</v>
      </c>
      <c r="D95" s="9" t="str">
        <f>Calendario!$D95</f>
        <v>Culto missionário</v>
      </c>
      <c r="E95" s="5" t="str">
        <f>Calendario!$E95</f>
        <v/>
      </c>
      <c r="F95" s="5" t="str">
        <f>Calendario!$F95</f>
        <v>Pastoral</v>
      </c>
      <c r="G95" s="5"/>
      <c r="H95" s="6" t="str">
        <f t="shared" si="1"/>
        <v>3</v>
      </c>
      <c r="I95" s="6"/>
      <c r="J95" s="10" t="str">
        <f>'traspo ñ alterar'!$B95</f>
        <v>26/4/26</v>
      </c>
      <c r="K95" s="6" t="str">
        <f t="shared" si="2"/>
        <v/>
      </c>
      <c r="L95" s="6" t="str">
        <f t="shared" si="3"/>
        <v/>
      </c>
      <c r="M95" s="6" t="str">
        <f t="shared" si="4"/>
        <v/>
      </c>
      <c r="N95" s="6" t="str">
        <f t="shared" si="5"/>
        <v>OCULTAR</v>
      </c>
    </row>
    <row r="96" ht="15.75" customHeight="1">
      <c r="A96" s="1"/>
      <c r="B96" s="8" t="str">
        <f>Calendario!$B96</f>
        <v>29/4</v>
      </c>
      <c r="C96" s="3" t="str">
        <f>Calendario!$C96</f>
        <v>Wednesday</v>
      </c>
      <c r="D96" s="9" t="str">
        <f>Calendario!$D96</f>
        <v>Célula</v>
      </c>
      <c r="E96" s="5" t="str">
        <f>Calendario!$E96</f>
        <v/>
      </c>
      <c r="F96" s="5" t="str">
        <f>Calendario!$F96</f>
        <v/>
      </c>
      <c r="G96" s="5"/>
      <c r="H96" s="6" t="str">
        <f t="shared" si="1"/>
        <v>1</v>
      </c>
      <c r="I96" s="6"/>
      <c r="J96" s="10" t="str">
        <f>'traspo ñ alterar'!$B96</f>
        <v>29/4/26</v>
      </c>
      <c r="K96" s="6" t="str">
        <f t="shared" si="2"/>
        <v>Célula</v>
      </c>
      <c r="L96" s="6" t="str">
        <f t="shared" si="3"/>
        <v/>
      </c>
      <c r="M96" s="6" t="str">
        <f t="shared" si="4"/>
        <v/>
      </c>
      <c r="N96" s="6" t="str">
        <f t="shared" si="5"/>
        <v>MOSTRAR</v>
      </c>
    </row>
    <row r="97" ht="15.75" customHeight="1">
      <c r="A97" s="1"/>
      <c r="B97" s="8" t="str">
        <f>Calendario!$B97</f>
        <v>30/4</v>
      </c>
      <c r="C97" s="3" t="str">
        <f>Calendario!$C97</f>
        <v>Thursday</v>
      </c>
      <c r="D97" s="9" t="str">
        <f>Calendario!$D97</f>
        <v>Futebol </v>
      </c>
      <c r="E97" s="5" t="str">
        <f>Calendario!$E97</f>
        <v>Fora das dependências da igreja</v>
      </c>
      <c r="F97" s="5" t="str">
        <f>Calendario!$F97</f>
        <v>SMH</v>
      </c>
      <c r="G97" s="5"/>
      <c r="H97" s="6" t="str">
        <f t="shared" si="1"/>
        <v>1</v>
      </c>
      <c r="I97" s="6"/>
      <c r="J97" s="10" t="str">
        <f>'traspo ñ alterar'!$B97</f>
        <v>30/4/26</v>
      </c>
      <c r="K97" s="6" t="str">
        <f t="shared" si="2"/>
        <v>Futebol </v>
      </c>
      <c r="L97" s="6" t="str">
        <f t="shared" si="3"/>
        <v/>
      </c>
      <c r="M97" s="6" t="str">
        <f t="shared" si="4"/>
        <v/>
      </c>
      <c r="N97" s="6" t="str">
        <f t="shared" si="5"/>
        <v>MOSTRAR</v>
      </c>
    </row>
    <row r="98" ht="15.75" customHeight="1">
      <c r="A98" s="1"/>
      <c r="B98" s="8" t="str">
        <f>Calendario!$B98</f>
        <v>2/5</v>
      </c>
      <c r="C98" s="3" t="str">
        <f>Calendario!$C98</f>
        <v>Saturday</v>
      </c>
      <c r="D98" s="9" t="str">
        <f>Calendario!$D98</f>
        <v>Mães e Filhos</v>
      </c>
      <c r="E98" s="5" t="str">
        <f>Calendario!$E98</f>
        <v>Igreja</v>
      </c>
      <c r="F98" s="5" t="str">
        <f>Calendario!$F98</f>
        <v>Metokids</v>
      </c>
      <c r="G98" s="5"/>
      <c r="H98" s="6" t="str">
        <f t="shared" si="1"/>
        <v>1</v>
      </c>
      <c r="I98" s="6"/>
      <c r="J98" s="10" t="str">
        <f>'traspo ñ alterar'!$B98</f>
        <v>2/5/26</v>
      </c>
      <c r="K98" s="6" t="str">
        <f t="shared" si="2"/>
        <v>Mães e Filhos</v>
      </c>
      <c r="L98" s="6" t="str">
        <f t="shared" si="3"/>
        <v/>
      </c>
      <c r="M98" s="6" t="str">
        <f t="shared" si="4"/>
        <v/>
      </c>
      <c r="N98" s="6" t="str">
        <f t="shared" si="5"/>
        <v>MOSTRAR</v>
      </c>
    </row>
    <row r="99" ht="15.75" customHeight="1">
      <c r="A99" s="1"/>
      <c r="B99" s="8" t="str">
        <f>Calendario!$B99</f>
        <v>3/5</v>
      </c>
      <c r="C99" s="3" t="str">
        <f>Calendario!$C99</f>
        <v>Sunday</v>
      </c>
      <c r="D99" s="9" t="str">
        <f>Calendario!$D99</f>
        <v>Culto em Rio Brilhante</v>
      </c>
      <c r="E99" s="5" t="str">
        <f>Calendario!$E99</f>
        <v/>
      </c>
      <c r="F99" s="5" t="str">
        <f>Calendario!$F99</f>
        <v/>
      </c>
      <c r="G99" s="5"/>
      <c r="H99" s="6" t="str">
        <f t="shared" si="1"/>
        <v>1</v>
      </c>
      <c r="I99" s="6"/>
      <c r="J99" s="10" t="str">
        <f>'traspo ñ alterar'!$B99</f>
        <v>3/5/26</v>
      </c>
      <c r="K99" s="6" t="str">
        <f t="shared" si="2"/>
        <v>Culto em Rio Brilhante</v>
      </c>
      <c r="L99" s="6" t="str">
        <f t="shared" si="3"/>
        <v/>
      </c>
      <c r="M99" s="6" t="str">
        <f t="shared" si="4"/>
        <v/>
      </c>
      <c r="N99" s="6" t="str">
        <f t="shared" si="5"/>
        <v>MOSTRAR</v>
      </c>
    </row>
    <row r="100" ht="15.75" customHeight="1">
      <c r="A100" s="1"/>
      <c r="B100" s="8" t="str">
        <f>Calendario!$B100</f>
        <v>6/5</v>
      </c>
      <c r="C100" s="3" t="str">
        <f>Calendario!$C100</f>
        <v>Wednesday</v>
      </c>
      <c r="D100" s="9" t="str">
        <f>Calendario!$D100</f>
        <v>Célula</v>
      </c>
      <c r="E100" s="5" t="str">
        <f>Calendario!$E100</f>
        <v/>
      </c>
      <c r="F100" s="5" t="str">
        <f>Calendario!$F100</f>
        <v/>
      </c>
      <c r="G100" s="5"/>
      <c r="H100" s="6" t="str">
        <f t="shared" si="1"/>
        <v>1</v>
      </c>
      <c r="I100" s="6"/>
      <c r="J100" s="10" t="str">
        <f>'traspo ñ alterar'!$B100</f>
        <v>6/5/26</v>
      </c>
      <c r="K100" s="6" t="str">
        <f t="shared" si="2"/>
        <v>Célula</v>
      </c>
      <c r="L100" s="6" t="str">
        <f t="shared" si="3"/>
        <v/>
      </c>
      <c r="M100" s="6" t="str">
        <f t="shared" si="4"/>
        <v/>
      </c>
      <c r="N100" s="6" t="str">
        <f t="shared" si="5"/>
        <v>MOSTRAR</v>
      </c>
    </row>
    <row r="101" ht="15.75" customHeight="1">
      <c r="A101" s="1"/>
      <c r="B101" s="8" t="str">
        <f>Calendario!$B101</f>
        <v>8/5</v>
      </c>
      <c r="C101" s="3" t="str">
        <f>Calendario!$C101</f>
        <v>Friday</v>
      </c>
      <c r="D101" s="9" t="str">
        <f>Calendario!$D101</f>
        <v>Vigília</v>
      </c>
      <c r="E101" s="5" t="str">
        <f>Calendario!$E101</f>
        <v>Templo</v>
      </c>
      <c r="F101" s="5" t="str">
        <f>Calendario!$F101</f>
        <v>Intercessão</v>
      </c>
      <c r="G101" s="5"/>
      <c r="H101" s="6" t="str">
        <f t="shared" si="1"/>
        <v>1</v>
      </c>
      <c r="I101" s="6"/>
      <c r="J101" s="10" t="str">
        <f>'traspo ñ alterar'!$B101</f>
        <v>8/5/26</v>
      </c>
      <c r="K101" s="6" t="str">
        <f t="shared" si="2"/>
        <v>Vigília</v>
      </c>
      <c r="L101" s="6" t="str">
        <f t="shared" si="3"/>
        <v>Sexta cabeceira</v>
      </c>
      <c r="M101" s="6" t="str">
        <f t="shared" si="4"/>
        <v/>
      </c>
      <c r="N101" s="6" t="str">
        <f t="shared" si="5"/>
        <v>MOSTRAR</v>
      </c>
    </row>
    <row r="102" ht="15.75" customHeight="1">
      <c r="A102" s="1"/>
      <c r="B102" s="8" t="str">
        <f>Calendario!$B102</f>
        <v>8/5</v>
      </c>
      <c r="C102" s="3" t="str">
        <f>Calendario!$C102</f>
        <v>Friday</v>
      </c>
      <c r="D102" s="9" t="str">
        <f>Calendario!$D102</f>
        <v>Sexta cabeceira</v>
      </c>
      <c r="E102" s="5" t="str">
        <f>Calendario!$E102</f>
        <v>Quadra</v>
      </c>
      <c r="F102" s="5" t="str">
        <f>Calendario!$F102</f>
        <v>Inteensos</v>
      </c>
      <c r="G102" s="5"/>
      <c r="H102" s="6" t="str">
        <f t="shared" si="1"/>
        <v>2</v>
      </c>
      <c r="I102" s="6"/>
      <c r="J102" s="10" t="str">
        <f>'traspo ñ alterar'!$B102</f>
        <v>8/5/26</v>
      </c>
      <c r="K102" s="6" t="str">
        <f t="shared" si="2"/>
        <v/>
      </c>
      <c r="L102" s="6" t="str">
        <f t="shared" si="3"/>
        <v/>
      </c>
      <c r="M102" s="6" t="str">
        <f t="shared" si="4"/>
        <v/>
      </c>
      <c r="N102" s="6" t="str">
        <f t="shared" si="5"/>
        <v>OCULTAR</v>
      </c>
    </row>
    <row r="103" ht="15.75" customHeight="1">
      <c r="A103" s="1"/>
      <c r="B103" s="8" t="str">
        <f>Calendario!$B103</f>
        <v>9/5</v>
      </c>
      <c r="C103" s="3" t="str">
        <f>Calendario!$C103</f>
        <v>Saturday</v>
      </c>
      <c r="D103" s="9" t="str">
        <f>Calendario!$D103</f>
        <v>Relogio de oração</v>
      </c>
      <c r="E103" s="5" t="str">
        <f>Calendario!$E103</f>
        <v/>
      </c>
      <c r="F103" s="5" t="str">
        <f>Calendario!$F103</f>
        <v>Intercessão</v>
      </c>
      <c r="G103" s="5"/>
      <c r="H103" s="6" t="str">
        <f t="shared" si="1"/>
        <v>1</v>
      </c>
      <c r="I103" s="6"/>
      <c r="J103" s="10" t="str">
        <f>'traspo ñ alterar'!$B103</f>
        <v>9/5/26</v>
      </c>
      <c r="K103" s="6" t="str">
        <f t="shared" si="2"/>
        <v>Relogio de oração</v>
      </c>
      <c r="L103" s="6" t="str">
        <f t="shared" si="3"/>
        <v/>
      </c>
      <c r="M103" s="6" t="str">
        <f t="shared" si="4"/>
        <v/>
      </c>
      <c r="N103" s="6" t="str">
        <f t="shared" si="5"/>
        <v>MOSTRAR</v>
      </c>
    </row>
    <row r="104" ht="15.75" customHeight="1">
      <c r="A104" s="1"/>
      <c r="B104" s="8" t="str">
        <f>Calendario!$B104</f>
        <v>10/5</v>
      </c>
      <c r="C104" s="3" t="str">
        <f>Calendario!$C104</f>
        <v>Sunday</v>
      </c>
      <c r="D104" s="9" t="str">
        <f>Calendario!$D104</f>
        <v>Culto especial dia das mães</v>
      </c>
      <c r="E104" s="5" t="str">
        <f>Calendario!$E104</f>
        <v>Varanda  + jantar</v>
      </c>
      <c r="F104" s="5" t="str">
        <f>Calendario!$F104</f>
        <v>SMH</v>
      </c>
      <c r="G104" s="5"/>
      <c r="H104" s="6" t="str">
        <f t="shared" si="1"/>
        <v>1</v>
      </c>
      <c r="I104" s="6"/>
      <c r="J104" s="10" t="str">
        <f>'traspo ñ alterar'!$B104</f>
        <v>10/5/26</v>
      </c>
      <c r="K104" s="6" t="str">
        <f t="shared" si="2"/>
        <v>Culto especial dia das mães</v>
      </c>
      <c r="L104" s="6" t="str">
        <f t="shared" si="3"/>
        <v/>
      </c>
      <c r="M104" s="6" t="str">
        <f t="shared" si="4"/>
        <v/>
      </c>
      <c r="N104" s="6" t="str">
        <f t="shared" si="5"/>
        <v>MOSTRAR</v>
      </c>
    </row>
    <row r="105" ht="15.75" customHeight="1">
      <c r="A105" s="1"/>
      <c r="B105" s="8" t="str">
        <f>Calendario!$B105</f>
        <v>13/5</v>
      </c>
      <c r="C105" s="3" t="str">
        <f>Calendario!$C105</f>
        <v>Wednesday</v>
      </c>
      <c r="D105" s="9" t="str">
        <f>Calendario!$D105</f>
        <v>Célula</v>
      </c>
      <c r="E105" s="5" t="str">
        <f>Calendario!$E105</f>
        <v/>
      </c>
      <c r="F105" s="5" t="str">
        <f>Calendario!$F105</f>
        <v/>
      </c>
      <c r="G105" s="5"/>
      <c r="H105" s="6" t="str">
        <f t="shared" si="1"/>
        <v>1</v>
      </c>
      <c r="I105" s="6"/>
      <c r="J105" s="10" t="str">
        <f>'traspo ñ alterar'!$B105</f>
        <v>13/5/26</v>
      </c>
      <c r="K105" s="6" t="str">
        <f t="shared" si="2"/>
        <v>Célula</v>
      </c>
      <c r="L105" s="6" t="str">
        <f t="shared" si="3"/>
        <v/>
      </c>
      <c r="M105" s="6" t="str">
        <f t="shared" si="4"/>
        <v/>
      </c>
      <c r="N105" s="6" t="str">
        <f t="shared" si="5"/>
        <v>MOSTRAR</v>
      </c>
    </row>
    <row r="106" ht="15.75" customHeight="1">
      <c r="A106" s="1"/>
      <c r="B106" s="8" t="str">
        <f>Calendario!$B106</f>
        <v>14/5</v>
      </c>
      <c r="C106" s="3" t="str">
        <f>Calendario!$C106</f>
        <v>Thursday</v>
      </c>
      <c r="D106" s="9" t="str">
        <f>Calendario!$D106</f>
        <v>Encontro Mensal de Mulheres</v>
      </c>
      <c r="E106" s="5" t="str">
        <f>Calendario!$E106</f>
        <v/>
      </c>
      <c r="F106" s="5" t="str">
        <f>Calendario!$F106</f>
        <v>SMM</v>
      </c>
      <c r="G106" s="5"/>
      <c r="H106" s="6" t="str">
        <f t="shared" si="1"/>
        <v>1</v>
      </c>
      <c r="I106" s="6"/>
      <c r="J106" s="10" t="str">
        <f>'traspo ñ alterar'!$B106</f>
        <v>14/5/26</v>
      </c>
      <c r="K106" s="6" t="str">
        <f t="shared" si="2"/>
        <v>Encontro Mensal de Mulheres</v>
      </c>
      <c r="L106" s="6" t="str">
        <f t="shared" si="3"/>
        <v/>
      </c>
      <c r="M106" s="6" t="str">
        <f t="shared" si="4"/>
        <v/>
      </c>
      <c r="N106" s="6" t="str">
        <f t="shared" si="5"/>
        <v>MOSTRAR</v>
      </c>
    </row>
    <row r="107" ht="15.75" customHeight="1">
      <c r="A107" s="1"/>
      <c r="B107" s="8" t="str">
        <f>Calendario!$B107</f>
        <v>15/5</v>
      </c>
      <c r="C107" s="3" t="str">
        <f>Calendario!$C107</f>
        <v>Friday</v>
      </c>
      <c r="D107" s="9" t="str">
        <f>Calendario!$D107</f>
        <v>Sexta cabeceira</v>
      </c>
      <c r="E107" s="5" t="str">
        <f>Calendario!$E107</f>
        <v>Quadra</v>
      </c>
      <c r="F107" s="5" t="str">
        <f>Calendario!$F107</f>
        <v>Inteensos</v>
      </c>
      <c r="G107" s="5"/>
      <c r="H107" s="6" t="str">
        <f t="shared" si="1"/>
        <v>1</v>
      </c>
      <c r="I107" s="6"/>
      <c r="J107" s="10" t="str">
        <f>'traspo ñ alterar'!$B107</f>
        <v>15/5/26</v>
      </c>
      <c r="K107" s="6" t="str">
        <f t="shared" si="2"/>
        <v>Sexta cabeceira</v>
      </c>
      <c r="L107" s="6" t="str">
        <f t="shared" si="3"/>
        <v/>
      </c>
      <c r="M107" s="6" t="str">
        <f t="shared" si="4"/>
        <v/>
      </c>
      <c r="N107" s="6" t="str">
        <f t="shared" si="5"/>
        <v>MOSTRAR</v>
      </c>
    </row>
    <row r="108" ht="15.75" customHeight="1">
      <c r="A108" s="1"/>
      <c r="B108" s="8" t="str">
        <f>Calendario!$B108</f>
        <v>16/5</v>
      </c>
      <c r="C108" s="3" t="str">
        <f>Calendario!$C108</f>
        <v>Saturday</v>
      </c>
      <c r="D108" s="9" t="str">
        <f>Calendario!$D108</f>
        <v>Inteensos</v>
      </c>
      <c r="E108" s="5" t="str">
        <f>Calendario!$E108</f>
        <v>Templo</v>
      </c>
      <c r="F108" s="5" t="str">
        <f>Calendario!$F108</f>
        <v>Inteensos</v>
      </c>
      <c r="G108" s="5"/>
      <c r="H108" s="6" t="str">
        <f t="shared" si="1"/>
        <v>1</v>
      </c>
      <c r="I108" s="6"/>
      <c r="J108" s="10" t="str">
        <f>'traspo ñ alterar'!$B108</f>
        <v>16/5/26</v>
      </c>
      <c r="K108" s="6" t="str">
        <f t="shared" si="2"/>
        <v>Inteensos</v>
      </c>
      <c r="L108" s="6" t="str">
        <f t="shared" si="3"/>
        <v/>
      </c>
      <c r="M108" s="6" t="str">
        <f t="shared" si="4"/>
        <v/>
      </c>
      <c r="N108" s="6" t="str">
        <f t="shared" si="5"/>
        <v>MOSTRAR</v>
      </c>
    </row>
    <row r="109" ht="15.75" customHeight="1">
      <c r="A109" s="1"/>
      <c r="B109" s="8" t="str">
        <f>Calendario!$B109</f>
        <v>17/5</v>
      </c>
      <c r="C109" s="3" t="str">
        <f>Calendario!$C109</f>
        <v>Sunday</v>
      </c>
      <c r="D109" s="9" t="str">
        <f>Calendario!$D109</f>
        <v>1º Promoção</v>
      </c>
      <c r="E109" s="5" t="str">
        <f>Calendario!$E109</f>
        <v/>
      </c>
      <c r="F109" s="5" t="str">
        <f>Calendario!$F109</f>
        <v>Patrimonio</v>
      </c>
      <c r="G109" s="5"/>
      <c r="H109" s="6" t="str">
        <f t="shared" si="1"/>
        <v>1</v>
      </c>
      <c r="I109" s="6"/>
      <c r="J109" s="10" t="str">
        <f>'traspo ñ alterar'!$B109</f>
        <v>17/5/26</v>
      </c>
      <c r="K109" s="6" t="str">
        <f t="shared" si="2"/>
        <v>1º Promoção</v>
      </c>
      <c r="L109" s="6" t="str">
        <f t="shared" si="3"/>
        <v>Cantina prol GE</v>
      </c>
      <c r="M109" s="6" t="str">
        <f t="shared" si="4"/>
        <v/>
      </c>
      <c r="N109" s="6" t="str">
        <f t="shared" si="5"/>
        <v>MOSTRAR</v>
      </c>
    </row>
    <row r="110" ht="15.75" customHeight="1">
      <c r="A110" s="1"/>
      <c r="B110" s="8" t="str">
        <f>Calendario!$B110</f>
        <v>17/5</v>
      </c>
      <c r="C110" s="3" t="str">
        <f>Calendario!$C110</f>
        <v>Sunday</v>
      </c>
      <c r="D110" s="9" t="str">
        <f>Calendario!$D110</f>
        <v>Cantina prol GE</v>
      </c>
      <c r="E110" s="5" t="str">
        <f>Calendario!$E110</f>
        <v>A definir  doces</v>
      </c>
      <c r="F110" s="5" t="str">
        <f>Calendario!$F110</f>
        <v>Inteensos</v>
      </c>
      <c r="G110" s="5"/>
      <c r="H110" s="6" t="str">
        <f t="shared" si="1"/>
        <v>2</v>
      </c>
      <c r="I110" s="6"/>
      <c r="J110" s="10" t="str">
        <f>'traspo ñ alterar'!$B110</f>
        <v>17/5/26</v>
      </c>
      <c r="K110" s="6" t="str">
        <f t="shared" si="2"/>
        <v/>
      </c>
      <c r="L110" s="6" t="str">
        <f t="shared" si="3"/>
        <v/>
      </c>
      <c r="M110" s="6" t="str">
        <f t="shared" si="4"/>
        <v/>
      </c>
      <c r="N110" s="6" t="str">
        <f t="shared" si="5"/>
        <v>OCULTAR</v>
      </c>
    </row>
    <row r="111" ht="15.75" customHeight="1">
      <c r="A111" s="1"/>
      <c r="B111" s="8" t="str">
        <f>Calendario!$B111</f>
        <v>20/5</v>
      </c>
      <c r="C111" s="3" t="str">
        <f>Calendario!$C111</f>
        <v>Wednesday</v>
      </c>
      <c r="D111" s="9" t="str">
        <f>Calendario!$D111</f>
        <v>Célula</v>
      </c>
      <c r="E111" s="5" t="str">
        <f>Calendario!$E111</f>
        <v/>
      </c>
      <c r="F111" s="5" t="str">
        <f>Calendario!$F111</f>
        <v/>
      </c>
      <c r="G111" s="5"/>
      <c r="H111" s="6" t="str">
        <f t="shared" si="1"/>
        <v>1</v>
      </c>
      <c r="I111" s="6"/>
      <c r="J111" s="10" t="str">
        <f>'traspo ñ alterar'!$B111</f>
        <v>20/5/26</v>
      </c>
      <c r="K111" s="6" t="str">
        <f t="shared" si="2"/>
        <v>Célula</v>
      </c>
      <c r="L111" s="6" t="str">
        <f t="shared" si="3"/>
        <v/>
      </c>
      <c r="M111" s="6" t="str">
        <f t="shared" si="4"/>
        <v/>
      </c>
      <c r="N111" s="6" t="str">
        <f t="shared" si="5"/>
        <v>MOSTRAR</v>
      </c>
    </row>
    <row r="112" ht="15.75" customHeight="1">
      <c r="A112" s="1"/>
      <c r="B112" s="8" t="str">
        <f>Calendario!$B112</f>
        <v>21/5</v>
      </c>
      <c r="C112" s="3" t="str">
        <f>Calendario!$C112</f>
        <v>Thursday</v>
      </c>
      <c r="D112" s="9" t="str">
        <f>Calendario!$D112</f>
        <v>Culto de homens</v>
      </c>
      <c r="E112" s="5" t="str">
        <f>Calendario!$E112</f>
        <v>Metokids</v>
      </c>
      <c r="F112" s="5" t="str">
        <f>Calendario!$F112</f>
        <v>SMH</v>
      </c>
      <c r="G112" s="5"/>
      <c r="H112" s="6" t="str">
        <f t="shared" si="1"/>
        <v>1</v>
      </c>
      <c r="I112" s="6"/>
      <c r="J112" s="10" t="str">
        <f>'traspo ñ alterar'!$B112</f>
        <v>21/5/26</v>
      </c>
      <c r="K112" s="6" t="str">
        <f t="shared" si="2"/>
        <v>Culto de homens</v>
      </c>
      <c r="L112" s="6" t="str">
        <f t="shared" si="3"/>
        <v/>
      </c>
      <c r="M112" s="6" t="str">
        <f t="shared" si="4"/>
        <v/>
      </c>
      <c r="N112" s="6" t="str">
        <f t="shared" si="5"/>
        <v>MOSTRAR</v>
      </c>
    </row>
    <row r="113" ht="15.75" customHeight="1">
      <c r="A113" s="1"/>
      <c r="B113" s="8" t="str">
        <f>Calendario!$B113</f>
        <v>22/5</v>
      </c>
      <c r="C113" s="3" t="str">
        <f>Calendario!$C113</f>
        <v>Friday</v>
      </c>
      <c r="D113" s="9" t="str">
        <f>Calendario!$D113</f>
        <v>Sexta cabeceira</v>
      </c>
      <c r="E113" s="5" t="str">
        <f>Calendario!$E113</f>
        <v>Quadra</v>
      </c>
      <c r="F113" s="5" t="str">
        <f>Calendario!$F113</f>
        <v>Inteensos</v>
      </c>
      <c r="G113" s="5"/>
      <c r="H113" s="6" t="str">
        <f t="shared" si="1"/>
        <v>1</v>
      </c>
      <c r="I113" s="6"/>
      <c r="J113" s="10" t="str">
        <f>'traspo ñ alterar'!$B113</f>
        <v>22/5/26</v>
      </c>
      <c r="K113" s="6" t="str">
        <f t="shared" si="2"/>
        <v>Sexta cabeceira</v>
      </c>
      <c r="L113" s="6" t="str">
        <f t="shared" si="3"/>
        <v/>
      </c>
      <c r="M113" s="6" t="str">
        <f t="shared" si="4"/>
        <v/>
      </c>
      <c r="N113" s="6" t="str">
        <f t="shared" si="5"/>
        <v>MOSTRAR</v>
      </c>
    </row>
    <row r="114" ht="15.75" customHeight="1">
      <c r="A114" s="1"/>
      <c r="B114" s="8" t="str">
        <f>Calendario!$B114</f>
        <v>23/5</v>
      </c>
      <c r="C114" s="3" t="str">
        <f>Calendario!$C114</f>
        <v>Saturday</v>
      </c>
      <c r="D114" s="9" t="str">
        <f>Calendario!$D114</f>
        <v>Clamor 24 horas</v>
      </c>
      <c r="E114" s="5" t="str">
        <f>Calendario!$E114</f>
        <v>Templo</v>
      </c>
      <c r="F114" s="5" t="str">
        <f>Calendario!$F114</f>
        <v>Intercessão</v>
      </c>
      <c r="G114" s="5"/>
      <c r="H114" s="6" t="str">
        <f t="shared" si="1"/>
        <v>1</v>
      </c>
      <c r="I114" s="6"/>
      <c r="J114" s="10" t="str">
        <f>'traspo ñ alterar'!$B114</f>
        <v>23/5/26</v>
      </c>
      <c r="K114" s="6" t="str">
        <f t="shared" si="2"/>
        <v>Clamor 24 horas</v>
      </c>
      <c r="L114" s="6" t="str">
        <f t="shared" si="3"/>
        <v/>
      </c>
      <c r="M114" s="6" t="str">
        <f t="shared" si="4"/>
        <v/>
      </c>
      <c r="N114" s="6" t="str">
        <f t="shared" si="5"/>
        <v>MOSTRAR</v>
      </c>
    </row>
    <row r="115" ht="15.75" customHeight="1">
      <c r="A115" s="1"/>
      <c r="B115" s="8" t="str">
        <f>Calendario!$B115</f>
        <v>24/5</v>
      </c>
      <c r="C115" s="3" t="str">
        <f>Calendario!$C115</f>
        <v>Sunday</v>
      </c>
      <c r="D115" s="9" t="str">
        <f>Calendario!$D115</f>
        <v>Clamor 24 horas</v>
      </c>
      <c r="E115" s="5" t="str">
        <f>Calendario!$E115</f>
        <v>Templo</v>
      </c>
      <c r="F115" s="5" t="str">
        <f>Calendario!$F115</f>
        <v>Intercessão</v>
      </c>
      <c r="G115" s="5"/>
      <c r="H115" s="6" t="str">
        <f t="shared" si="1"/>
        <v>1</v>
      </c>
      <c r="I115" s="6"/>
      <c r="J115" s="10" t="str">
        <f>'traspo ñ alterar'!$B115</f>
        <v>24/5/26</v>
      </c>
      <c r="K115" s="6" t="str">
        <f t="shared" si="2"/>
        <v>Clamor 24 horas</v>
      </c>
      <c r="L115" s="6" t="str">
        <f t="shared" si="3"/>
        <v>Culto missionário</v>
      </c>
      <c r="M115" s="6" t="str">
        <f t="shared" si="4"/>
        <v/>
      </c>
      <c r="N115" s="6" t="str">
        <f t="shared" si="5"/>
        <v>MOSTRAR</v>
      </c>
    </row>
    <row r="116" ht="15.75" customHeight="1">
      <c r="A116" s="1"/>
      <c r="B116" s="8" t="str">
        <f>Calendario!$B116</f>
        <v>24/5</v>
      </c>
      <c r="C116" s="3" t="str">
        <f>Calendario!$C116</f>
        <v>Sunday</v>
      </c>
      <c r="D116" s="9" t="str">
        <f>Calendario!$D116</f>
        <v>Culto missionário</v>
      </c>
      <c r="E116" s="5" t="str">
        <f>Calendario!$E116</f>
        <v/>
      </c>
      <c r="F116" s="5" t="str">
        <f>Calendario!$F116</f>
        <v>Pastoral</v>
      </c>
      <c r="G116" s="5"/>
      <c r="H116" s="6" t="str">
        <f t="shared" si="1"/>
        <v>2</v>
      </c>
      <c r="I116" s="6"/>
      <c r="J116" s="10" t="str">
        <f>'traspo ñ alterar'!$B116</f>
        <v>24/5/26</v>
      </c>
      <c r="K116" s="6" t="str">
        <f t="shared" si="2"/>
        <v/>
      </c>
      <c r="L116" s="6" t="str">
        <f t="shared" si="3"/>
        <v/>
      </c>
      <c r="M116" s="6" t="str">
        <f t="shared" si="4"/>
        <v/>
      </c>
      <c r="N116" s="6" t="str">
        <f t="shared" si="5"/>
        <v>OCULTAR</v>
      </c>
    </row>
    <row r="117" ht="15.75" customHeight="1">
      <c r="A117" s="1"/>
      <c r="B117" s="8" t="str">
        <f>Calendario!$B117</f>
        <v>27/5</v>
      </c>
      <c r="C117" s="3" t="str">
        <f>Calendario!$C117</f>
        <v>Wednesday</v>
      </c>
      <c r="D117" s="9" t="str">
        <f>Calendario!$D117</f>
        <v>Célula</v>
      </c>
      <c r="E117" s="5" t="str">
        <f>Calendario!$E117</f>
        <v/>
      </c>
      <c r="F117" s="5" t="str">
        <f>Calendario!$F117</f>
        <v/>
      </c>
      <c r="G117" s="5"/>
      <c r="H117" s="6" t="str">
        <f t="shared" si="1"/>
        <v>1</v>
      </c>
      <c r="I117" s="6"/>
      <c r="J117" s="10" t="str">
        <f>'traspo ñ alterar'!$B117</f>
        <v>27/5/26</v>
      </c>
      <c r="K117" s="6" t="str">
        <f t="shared" si="2"/>
        <v>Célula</v>
      </c>
      <c r="L117" s="6" t="str">
        <f t="shared" si="3"/>
        <v/>
      </c>
      <c r="M117" s="6" t="str">
        <f t="shared" si="4"/>
        <v/>
      </c>
      <c r="N117" s="6" t="str">
        <f t="shared" si="5"/>
        <v>MOSTRAR</v>
      </c>
    </row>
    <row r="118" ht="15.75" customHeight="1">
      <c r="A118" s="1"/>
      <c r="B118" s="8" t="str">
        <f>Calendario!$B118</f>
        <v>29/5</v>
      </c>
      <c r="C118" s="3" t="str">
        <f>Calendario!$C118</f>
        <v>Friday</v>
      </c>
      <c r="D118" s="9" t="str">
        <f>Calendario!$D118</f>
        <v>Veredas</v>
      </c>
      <c r="E118" s="5" t="str">
        <f>Calendario!$E118</f>
        <v>Templo</v>
      </c>
      <c r="F118" s="5" t="str">
        <f>Calendario!$F118</f>
        <v>Secretaria do discipulado</v>
      </c>
      <c r="G118" s="5"/>
      <c r="H118" s="6" t="str">
        <f t="shared" si="1"/>
        <v>1</v>
      </c>
      <c r="I118" s="6"/>
      <c r="J118" s="10" t="str">
        <f>'traspo ñ alterar'!$B118</f>
        <v>29/5/26</v>
      </c>
      <c r="K118" s="6" t="str">
        <f t="shared" si="2"/>
        <v>Veredas</v>
      </c>
      <c r="L118" s="6" t="str">
        <f t="shared" si="3"/>
        <v/>
      </c>
      <c r="M118" s="6" t="str">
        <f t="shared" si="4"/>
        <v/>
      </c>
      <c r="N118" s="6" t="str">
        <f t="shared" si="5"/>
        <v>MOSTRAR</v>
      </c>
    </row>
    <row r="119" ht="15.75" customHeight="1">
      <c r="A119" s="1"/>
      <c r="B119" s="8" t="str">
        <f>Calendario!$B119</f>
        <v>30/5</v>
      </c>
      <c r="C119" s="3" t="str">
        <f>Calendario!$C119</f>
        <v>Saturday</v>
      </c>
      <c r="D119" s="9" t="str">
        <f>Calendario!$D119</f>
        <v>Veredas</v>
      </c>
      <c r="E119" s="5" t="str">
        <f>Calendario!$E119</f>
        <v>Templo</v>
      </c>
      <c r="F119" s="5" t="str">
        <f>Calendario!$F119</f>
        <v>Secretaria do discipulado</v>
      </c>
      <c r="G119" s="5"/>
      <c r="H119" s="6" t="str">
        <f t="shared" si="1"/>
        <v>1</v>
      </c>
      <c r="I119" s="6"/>
      <c r="J119" s="10" t="str">
        <f>'traspo ñ alterar'!$B119</f>
        <v>30/5/26</v>
      </c>
      <c r="K119" s="6" t="str">
        <f t="shared" si="2"/>
        <v>Veredas</v>
      </c>
      <c r="L119" s="6" t="str">
        <f t="shared" si="3"/>
        <v/>
      </c>
      <c r="M119" s="6" t="str">
        <f t="shared" si="4"/>
        <v/>
      </c>
      <c r="N119" s="6" t="str">
        <f t="shared" si="5"/>
        <v>MOSTRAR</v>
      </c>
    </row>
    <row r="120" ht="15.75" customHeight="1">
      <c r="A120" s="1"/>
      <c r="B120" s="8" t="str">
        <f>Calendario!$B120</f>
        <v>31/5</v>
      </c>
      <c r="C120" s="3" t="str">
        <f>Calendario!$C120</f>
        <v>Sunday</v>
      </c>
      <c r="D120" s="9" t="str">
        <f>Calendario!$D120</f>
        <v>Culto especial células</v>
      </c>
      <c r="E120" s="5" t="str">
        <f>Calendario!$E120</f>
        <v/>
      </c>
      <c r="F120" s="5" t="str">
        <f>Calendario!$F120</f>
        <v/>
      </c>
      <c r="G120" s="5"/>
      <c r="H120" s="6" t="str">
        <f t="shared" si="1"/>
        <v>1</v>
      </c>
      <c r="I120" s="6"/>
      <c r="J120" s="10" t="str">
        <f>'traspo ñ alterar'!$B120</f>
        <v>31/5/26</v>
      </c>
      <c r="K120" s="6" t="str">
        <f t="shared" si="2"/>
        <v>Culto especial células</v>
      </c>
      <c r="L120" s="6" t="str">
        <f t="shared" si="3"/>
        <v/>
      </c>
      <c r="M120" s="6" t="str">
        <f t="shared" si="4"/>
        <v/>
      </c>
      <c r="N120" s="6" t="str">
        <f t="shared" si="5"/>
        <v>MOSTRAR</v>
      </c>
    </row>
    <row r="121" ht="15.75" customHeight="1">
      <c r="A121" s="1"/>
      <c r="B121" s="8" t="str">
        <f>Calendario!$B121</f>
        <v>3/6</v>
      </c>
      <c r="C121" s="3" t="str">
        <f>Calendario!$C121</f>
        <v>Wednesday</v>
      </c>
      <c r="D121" s="9" t="str">
        <f>Calendario!$D121</f>
        <v>Célula</v>
      </c>
      <c r="E121" s="5" t="str">
        <f>Calendario!$E121</f>
        <v/>
      </c>
      <c r="F121" s="5" t="str">
        <f>Calendario!$F121</f>
        <v/>
      </c>
      <c r="G121" s="5"/>
      <c r="H121" s="6" t="str">
        <f t="shared" si="1"/>
        <v>1</v>
      </c>
      <c r="I121" s="6"/>
      <c r="J121" s="10" t="str">
        <f>'traspo ñ alterar'!$B121</f>
        <v>3/6/26</v>
      </c>
      <c r="K121" s="6" t="str">
        <f t="shared" si="2"/>
        <v>Célula</v>
      </c>
      <c r="L121" s="6" t="str">
        <f t="shared" si="3"/>
        <v/>
      </c>
      <c r="M121" s="6" t="str">
        <f t="shared" si="4"/>
        <v/>
      </c>
      <c r="N121" s="6" t="str">
        <f t="shared" si="5"/>
        <v>MOSTRAR</v>
      </c>
    </row>
    <row r="122" ht="15.75" customHeight="1">
      <c r="A122" s="1"/>
      <c r="B122" s="8" t="str">
        <f>Calendario!$B122</f>
        <v>5/6</v>
      </c>
      <c r="C122" s="3" t="str">
        <f>Calendario!$C122</f>
        <v>Friday</v>
      </c>
      <c r="D122" s="9" t="str">
        <f>Calendario!$D122</f>
        <v>Vigília</v>
      </c>
      <c r="E122" s="5" t="str">
        <f>Calendario!$E122</f>
        <v>Templo</v>
      </c>
      <c r="F122" s="5" t="str">
        <f>Calendario!$F122</f>
        <v>Intercessão</v>
      </c>
      <c r="G122" s="5"/>
      <c r="H122" s="6" t="str">
        <f t="shared" si="1"/>
        <v>1</v>
      </c>
      <c r="I122" s="6"/>
      <c r="J122" s="10" t="str">
        <f>'traspo ñ alterar'!$B122</f>
        <v>5/6/26</v>
      </c>
      <c r="K122" s="6" t="str">
        <f t="shared" si="2"/>
        <v>Vigília</v>
      </c>
      <c r="L122" s="6" t="str">
        <f t="shared" si="3"/>
        <v/>
      </c>
      <c r="M122" s="6" t="str">
        <f t="shared" si="4"/>
        <v/>
      </c>
      <c r="N122" s="6" t="str">
        <f t="shared" si="5"/>
        <v>MOSTRAR</v>
      </c>
    </row>
    <row r="123" ht="15.75" customHeight="1">
      <c r="A123" s="1"/>
      <c r="B123" s="8" t="str">
        <f>Calendario!$B123</f>
        <v>10/6</v>
      </c>
      <c r="C123" s="3" t="str">
        <f>Calendario!$C123</f>
        <v>Wednesday</v>
      </c>
      <c r="D123" s="9" t="str">
        <f>Calendario!$D123</f>
        <v>Célula</v>
      </c>
      <c r="E123" s="5" t="str">
        <f>Calendario!$E123</f>
        <v/>
      </c>
      <c r="F123" s="5" t="str">
        <f>Calendario!$F123</f>
        <v/>
      </c>
      <c r="G123" s="5"/>
      <c r="H123" s="6" t="str">
        <f t="shared" si="1"/>
        <v>1</v>
      </c>
      <c r="I123" s="6"/>
      <c r="J123" s="10" t="str">
        <f>'traspo ñ alterar'!$B123</f>
        <v>10/6/26</v>
      </c>
      <c r="K123" s="6" t="str">
        <f t="shared" si="2"/>
        <v>Célula</v>
      </c>
      <c r="L123" s="6" t="str">
        <f t="shared" si="3"/>
        <v/>
      </c>
      <c r="M123" s="6" t="str">
        <f t="shared" si="4"/>
        <v/>
      </c>
      <c r="N123" s="6" t="str">
        <f t="shared" si="5"/>
        <v>MOSTRAR</v>
      </c>
    </row>
    <row r="124" ht="15.75" customHeight="1">
      <c r="A124" s="1"/>
      <c r="B124" s="8" t="str">
        <f>Calendario!$B124</f>
        <v>12/6</v>
      </c>
      <c r="C124" s="3" t="str">
        <f>Calendario!$C124</f>
        <v>Friday</v>
      </c>
      <c r="D124" s="9" t="str">
        <f>Calendario!$D124</f>
        <v>Sexta cabeceira</v>
      </c>
      <c r="E124" s="5" t="str">
        <f>Calendario!$E124</f>
        <v>Quadra</v>
      </c>
      <c r="F124" s="5" t="str">
        <f>Calendario!$F124</f>
        <v>Inteensos</v>
      </c>
      <c r="G124" s="5"/>
      <c r="H124" s="6" t="str">
        <f t="shared" si="1"/>
        <v>1</v>
      </c>
      <c r="I124" s="6"/>
      <c r="J124" s="10" t="str">
        <f>'traspo ñ alterar'!$B124</f>
        <v>12/6/26</v>
      </c>
      <c r="K124" s="6" t="str">
        <f t="shared" si="2"/>
        <v>Sexta cabeceira</v>
      </c>
      <c r="L124" s="6" t="str">
        <f t="shared" si="3"/>
        <v/>
      </c>
      <c r="M124" s="6" t="str">
        <f t="shared" si="4"/>
        <v/>
      </c>
      <c r="N124" s="6" t="str">
        <f t="shared" si="5"/>
        <v>MOSTRAR</v>
      </c>
    </row>
    <row r="125" ht="15.75" customHeight="1">
      <c r="A125" s="1"/>
      <c r="B125" s="8" t="str">
        <f>Calendario!$B125</f>
        <v>13/6</v>
      </c>
      <c r="C125" s="3" t="str">
        <f>Calendario!$C125</f>
        <v>Saturday</v>
      </c>
      <c r="D125" s="9" t="str">
        <f>Calendario!$D125</f>
        <v>Jantar in love</v>
      </c>
      <c r="E125" s="5" t="str">
        <f>Calendario!$E125</f>
        <v>A definir</v>
      </c>
      <c r="F125" s="5" t="str">
        <f>Calendario!$F125</f>
        <v>SMH - SMM</v>
      </c>
      <c r="G125" s="5"/>
      <c r="H125" s="6" t="str">
        <f t="shared" si="1"/>
        <v>1</v>
      </c>
      <c r="I125" s="6"/>
      <c r="J125" s="10" t="str">
        <f>'traspo ñ alterar'!$B125</f>
        <v>13/6/26</v>
      </c>
      <c r="K125" s="6" t="str">
        <f t="shared" si="2"/>
        <v>Jantar in love</v>
      </c>
      <c r="L125" s="6" t="str">
        <f t="shared" si="3"/>
        <v>Relogio de oração</v>
      </c>
      <c r="M125" s="6" t="str">
        <f t="shared" si="4"/>
        <v/>
      </c>
      <c r="N125" s="6" t="str">
        <f t="shared" si="5"/>
        <v>MOSTRAR</v>
      </c>
    </row>
    <row r="126" ht="15.75" customHeight="1">
      <c r="A126" s="1"/>
      <c r="B126" s="8" t="str">
        <f>Calendario!$B126</f>
        <v>13/6</v>
      </c>
      <c r="C126" s="3" t="str">
        <f>Calendario!$C126</f>
        <v>Saturday</v>
      </c>
      <c r="D126" s="9" t="str">
        <f>Calendario!$D126</f>
        <v>Relogio de oração</v>
      </c>
      <c r="E126" s="5" t="str">
        <f>Calendario!$E126</f>
        <v/>
      </c>
      <c r="F126" s="5" t="str">
        <f>Calendario!$F126</f>
        <v>Intercessão</v>
      </c>
      <c r="G126" s="5"/>
      <c r="H126" s="6" t="str">
        <f t="shared" si="1"/>
        <v>2</v>
      </c>
      <c r="I126" s="6"/>
      <c r="J126" s="10" t="str">
        <f>'traspo ñ alterar'!$B126</f>
        <v>13/6/26</v>
      </c>
      <c r="K126" s="6" t="str">
        <f t="shared" si="2"/>
        <v/>
      </c>
      <c r="L126" s="6" t="str">
        <f t="shared" si="3"/>
        <v/>
      </c>
      <c r="M126" s="6" t="str">
        <f t="shared" si="4"/>
        <v/>
      </c>
      <c r="N126" s="6" t="str">
        <f t="shared" si="5"/>
        <v>OCULTAR</v>
      </c>
    </row>
    <row r="127" ht="15.75" customHeight="1">
      <c r="A127" s="1"/>
      <c r="B127" s="8" t="str">
        <f>Calendario!$B127</f>
        <v>14/6</v>
      </c>
      <c r="C127" s="3" t="str">
        <f>Calendario!$C127</f>
        <v>Sunday</v>
      </c>
      <c r="D127" s="9" t="str">
        <f>Calendario!$D127</f>
        <v>Cantina prol GE</v>
      </c>
      <c r="E127" s="5" t="str">
        <f>Calendario!$E127</f>
        <v>A definir</v>
      </c>
      <c r="F127" s="5" t="str">
        <f>Calendario!$F127</f>
        <v>Inteensos</v>
      </c>
      <c r="G127" s="5"/>
      <c r="H127" s="6" t="str">
        <f t="shared" si="1"/>
        <v>1</v>
      </c>
      <c r="I127" s="6"/>
      <c r="J127" s="10" t="str">
        <f>'traspo ñ alterar'!$B127</f>
        <v>14/6/26</v>
      </c>
      <c r="K127" s="6" t="str">
        <f t="shared" si="2"/>
        <v>Cantina prol GE</v>
      </c>
      <c r="L127" s="6" t="str">
        <f t="shared" si="3"/>
        <v/>
      </c>
      <c r="M127" s="6" t="str">
        <f t="shared" si="4"/>
        <v/>
      </c>
      <c r="N127" s="6" t="str">
        <f t="shared" si="5"/>
        <v>MOSTRAR</v>
      </c>
    </row>
    <row r="128" ht="15.75" customHeight="1">
      <c r="A128" s="1"/>
      <c r="B128" s="8" t="str">
        <f>Calendario!$B128</f>
        <v>17/6</v>
      </c>
      <c r="C128" s="3" t="str">
        <f>Calendario!$C128</f>
        <v>Wednesday</v>
      </c>
      <c r="D128" s="9" t="str">
        <f>Calendario!$D128</f>
        <v>Célula</v>
      </c>
      <c r="E128" s="5" t="str">
        <f>Calendario!$E128</f>
        <v/>
      </c>
      <c r="F128" s="5" t="str">
        <f>Calendario!$F128</f>
        <v/>
      </c>
      <c r="G128" s="5"/>
      <c r="H128" s="6" t="str">
        <f t="shared" si="1"/>
        <v>1</v>
      </c>
      <c r="I128" s="6"/>
      <c r="J128" s="10" t="str">
        <f>'traspo ñ alterar'!$B128</f>
        <v>17/6/26</v>
      </c>
      <c r="K128" s="6" t="str">
        <f t="shared" si="2"/>
        <v>Célula</v>
      </c>
      <c r="L128" s="6" t="str">
        <f t="shared" si="3"/>
        <v/>
      </c>
      <c r="M128" s="6" t="str">
        <f t="shared" si="4"/>
        <v/>
      </c>
      <c r="N128" s="6" t="str">
        <f t="shared" si="5"/>
        <v>MOSTRAR</v>
      </c>
    </row>
    <row r="129" ht="15.75" customHeight="1">
      <c r="A129" s="1"/>
      <c r="B129" s="8" t="str">
        <f>Calendario!$B129</f>
        <v>18/6</v>
      </c>
      <c r="C129" s="3" t="str">
        <f>Calendario!$C129</f>
        <v>Thursday</v>
      </c>
      <c r="D129" s="9" t="str">
        <f>Calendario!$D129</f>
        <v>Culto de homens</v>
      </c>
      <c r="E129" s="5" t="str">
        <f>Calendario!$E129</f>
        <v>Metokids</v>
      </c>
      <c r="F129" s="5" t="str">
        <f>Calendario!$F129</f>
        <v>SMH</v>
      </c>
      <c r="G129" s="5"/>
      <c r="H129" s="6" t="str">
        <f t="shared" si="1"/>
        <v>1</v>
      </c>
      <c r="I129" s="6"/>
      <c r="J129" s="10" t="str">
        <f>'traspo ñ alterar'!$B129</f>
        <v>18/6/26</v>
      </c>
      <c r="K129" s="6" t="str">
        <f t="shared" si="2"/>
        <v>Culto de homens</v>
      </c>
      <c r="L129" s="6" t="str">
        <f t="shared" si="3"/>
        <v/>
      </c>
      <c r="M129" s="6" t="str">
        <f t="shared" si="4"/>
        <v/>
      </c>
      <c r="N129" s="6" t="str">
        <f t="shared" si="5"/>
        <v>MOSTRAR</v>
      </c>
    </row>
    <row r="130" ht="15.75" customHeight="1">
      <c r="A130" s="1"/>
      <c r="B130" s="8" t="str">
        <f>Calendario!$B130</f>
        <v>19/6</v>
      </c>
      <c r="C130" s="3" t="str">
        <f>Calendario!$C130</f>
        <v>Friday</v>
      </c>
      <c r="D130" s="9" t="str">
        <f>Calendario!$D130</f>
        <v>Sexta cabeceira</v>
      </c>
      <c r="E130" s="5" t="str">
        <f>Calendario!$E130</f>
        <v>Quadra</v>
      </c>
      <c r="F130" s="5" t="str">
        <f>Calendario!$F130</f>
        <v>Inteensos</v>
      </c>
      <c r="G130" s="5"/>
      <c r="H130" s="6" t="str">
        <f t="shared" si="1"/>
        <v>1</v>
      </c>
      <c r="I130" s="6"/>
      <c r="J130" s="10" t="str">
        <f>'traspo ñ alterar'!$B130</f>
        <v>19/6/26</v>
      </c>
      <c r="K130" s="6" t="str">
        <f t="shared" si="2"/>
        <v>Sexta cabeceira</v>
      </c>
      <c r="L130" s="6" t="str">
        <f t="shared" si="3"/>
        <v/>
      </c>
      <c r="M130" s="6" t="str">
        <f t="shared" si="4"/>
        <v/>
      </c>
      <c r="N130" s="6" t="str">
        <f t="shared" si="5"/>
        <v>MOSTRAR</v>
      </c>
    </row>
    <row r="131" ht="15.75" customHeight="1">
      <c r="A131" s="1"/>
      <c r="B131" s="8" t="str">
        <f>Calendario!$B131</f>
        <v>20/6</v>
      </c>
      <c r="C131" s="3" t="str">
        <f>Calendario!$C131</f>
        <v>Saturday</v>
      </c>
      <c r="D131" s="9" t="str">
        <f>Calendario!$D131</f>
        <v>Inteensos</v>
      </c>
      <c r="E131" s="5" t="str">
        <f>Calendario!$E131</f>
        <v>Templo</v>
      </c>
      <c r="F131" s="5" t="str">
        <f>Calendario!$F131</f>
        <v>Inteensos</v>
      </c>
      <c r="G131" s="5"/>
      <c r="H131" s="6" t="str">
        <f t="shared" si="1"/>
        <v>1</v>
      </c>
      <c r="I131" s="6"/>
      <c r="J131" s="10" t="str">
        <f>'traspo ñ alterar'!$B131</f>
        <v>20/6/26</v>
      </c>
      <c r="K131" s="6" t="str">
        <f t="shared" si="2"/>
        <v>Inteensos</v>
      </c>
      <c r="L131" s="6" t="str">
        <f t="shared" si="3"/>
        <v/>
      </c>
      <c r="M131" s="6" t="str">
        <f t="shared" si="4"/>
        <v/>
      </c>
      <c r="N131" s="6" t="str">
        <f t="shared" si="5"/>
        <v>MOSTRAR</v>
      </c>
    </row>
    <row r="132" ht="15.75" customHeight="1">
      <c r="A132" s="1"/>
      <c r="B132" s="8" t="str">
        <f>Calendario!$B132</f>
        <v>21/6</v>
      </c>
      <c r="C132" s="3" t="str">
        <f>Calendario!$C132</f>
        <v>Sunday</v>
      </c>
      <c r="D132" s="9" t="str">
        <f>Calendario!$D132</f>
        <v>Culto em Rio Brilhante</v>
      </c>
      <c r="E132" s="5" t="str">
        <f>Calendario!$E132</f>
        <v/>
      </c>
      <c r="F132" s="5" t="str">
        <f>Calendario!$F132</f>
        <v/>
      </c>
      <c r="G132" s="5"/>
      <c r="H132" s="6" t="str">
        <f t="shared" si="1"/>
        <v>1</v>
      </c>
      <c r="I132" s="6"/>
      <c r="J132" s="10" t="str">
        <f>'traspo ñ alterar'!$B132</f>
        <v>21/6/26</v>
      </c>
      <c r="K132" s="6" t="str">
        <f t="shared" si="2"/>
        <v>Culto em Rio Brilhante</v>
      </c>
      <c r="L132" s="6" t="str">
        <f t="shared" si="3"/>
        <v>Culto missionário - células</v>
      </c>
      <c r="M132" s="6" t="str">
        <f t="shared" si="4"/>
        <v/>
      </c>
      <c r="N132" s="6" t="str">
        <f t="shared" si="5"/>
        <v>MOSTRAR</v>
      </c>
    </row>
    <row r="133" ht="15.75" customHeight="1">
      <c r="A133" s="1"/>
      <c r="B133" s="8" t="str">
        <f>Calendario!$B133</f>
        <v>21/6</v>
      </c>
      <c r="C133" s="3" t="str">
        <f>Calendario!$C133</f>
        <v>Sunday</v>
      </c>
      <c r="D133" s="9" t="str">
        <f>Calendario!$D133</f>
        <v>Culto missionário - células</v>
      </c>
      <c r="E133" s="5" t="str">
        <f>Calendario!$E133</f>
        <v/>
      </c>
      <c r="F133" s="5" t="str">
        <f>Calendario!$F133</f>
        <v>Pastoral</v>
      </c>
      <c r="G133" s="5"/>
      <c r="H133" s="6" t="str">
        <f t="shared" si="1"/>
        <v>2</v>
      </c>
      <c r="I133" s="6"/>
      <c r="J133" s="10" t="str">
        <f>'traspo ñ alterar'!$B133</f>
        <v>21/6/26</v>
      </c>
      <c r="K133" s="6" t="str">
        <f t="shared" si="2"/>
        <v/>
      </c>
      <c r="L133" s="6" t="str">
        <f t="shared" si="3"/>
        <v/>
      </c>
      <c r="M133" s="6" t="str">
        <f t="shared" si="4"/>
        <v/>
      </c>
      <c r="N133" s="6" t="str">
        <f t="shared" si="5"/>
        <v>OCULTAR</v>
      </c>
    </row>
    <row r="134" ht="15.75" customHeight="1">
      <c r="A134" s="1"/>
      <c r="B134" s="8" t="str">
        <f>Calendario!$B134</f>
        <v>22/6</v>
      </c>
      <c r="C134" s="3" t="str">
        <f>Calendario!$C134</f>
        <v>Monday</v>
      </c>
      <c r="D134" s="9" t="str">
        <f>Calendario!$D134</f>
        <v>Clamor on line</v>
      </c>
      <c r="E134" s="5" t="str">
        <f>Calendario!$E134</f>
        <v/>
      </c>
      <c r="F134" s="5" t="str">
        <f>Calendario!$F134</f>
        <v/>
      </c>
      <c r="G134" s="5"/>
      <c r="H134" s="6" t="str">
        <f t="shared" si="1"/>
        <v>1</v>
      </c>
      <c r="I134" s="6"/>
      <c r="J134" s="10" t="str">
        <f>'traspo ñ alterar'!$B134</f>
        <v>22/6/26</v>
      </c>
      <c r="K134" s="6" t="str">
        <f t="shared" si="2"/>
        <v>Clamor on line</v>
      </c>
      <c r="L134" s="6" t="str">
        <f t="shared" si="3"/>
        <v/>
      </c>
      <c r="M134" s="6" t="str">
        <f t="shared" si="4"/>
        <v/>
      </c>
      <c r="N134" s="6" t="str">
        <f t="shared" si="5"/>
        <v>MOSTRAR</v>
      </c>
    </row>
    <row r="135" ht="15.75" customHeight="1">
      <c r="A135" s="1"/>
      <c r="B135" s="8" t="str">
        <f>Calendario!$B135</f>
        <v>23/6</v>
      </c>
      <c r="C135" s="3" t="str">
        <f>Calendario!$C135</f>
        <v>Tuesday</v>
      </c>
      <c r="D135" s="9" t="str">
        <f>Calendario!$D135</f>
        <v>Clamor on line</v>
      </c>
      <c r="E135" s="5" t="str">
        <f>Calendario!$E135</f>
        <v/>
      </c>
      <c r="F135" s="5" t="str">
        <f>Calendario!$F135</f>
        <v/>
      </c>
      <c r="G135" s="5"/>
      <c r="H135" s="6" t="str">
        <f t="shared" si="1"/>
        <v>1</v>
      </c>
      <c r="I135" s="6"/>
      <c r="J135" s="10" t="str">
        <f>'traspo ñ alterar'!$B135</f>
        <v>23/6/26</v>
      </c>
      <c r="K135" s="6" t="str">
        <f t="shared" si="2"/>
        <v>Clamor on line</v>
      </c>
      <c r="L135" s="6" t="str">
        <f t="shared" si="3"/>
        <v/>
      </c>
      <c r="M135" s="6" t="str">
        <f t="shared" si="4"/>
        <v/>
      </c>
      <c r="N135" s="6" t="str">
        <f t="shared" si="5"/>
        <v>MOSTRAR</v>
      </c>
    </row>
    <row r="136" ht="15.75" customHeight="1">
      <c r="A136" s="1"/>
      <c r="B136" s="8" t="str">
        <f>Calendario!$B136</f>
        <v>24/6</v>
      </c>
      <c r="C136" s="3" t="str">
        <f>Calendario!$C136</f>
        <v>Wednesday</v>
      </c>
      <c r="D136" s="9" t="str">
        <f>Calendario!$D136</f>
        <v>Célula</v>
      </c>
      <c r="E136" s="5" t="str">
        <f>Calendario!$E136</f>
        <v/>
      </c>
      <c r="F136" s="5" t="str">
        <f>Calendario!$F136</f>
        <v/>
      </c>
      <c r="G136" s="5"/>
      <c r="H136" s="6" t="str">
        <f t="shared" si="1"/>
        <v>1</v>
      </c>
      <c r="I136" s="6"/>
      <c r="J136" s="10" t="str">
        <f>'traspo ñ alterar'!$B136</f>
        <v>24/6/26</v>
      </c>
      <c r="K136" s="6" t="str">
        <f t="shared" si="2"/>
        <v>Célula</v>
      </c>
      <c r="L136" s="6" t="str">
        <f t="shared" si="3"/>
        <v>Clamor on line</v>
      </c>
      <c r="M136" s="6" t="str">
        <f t="shared" si="4"/>
        <v/>
      </c>
      <c r="N136" s="6" t="str">
        <f t="shared" si="5"/>
        <v>MOSTRAR</v>
      </c>
    </row>
    <row r="137" ht="15.75" customHeight="1">
      <c r="A137" s="1"/>
      <c r="B137" s="8" t="str">
        <f>Calendario!$B137</f>
        <v>24/6</v>
      </c>
      <c r="C137" s="3" t="str">
        <f>Calendario!$C137</f>
        <v>Wednesday</v>
      </c>
      <c r="D137" s="9" t="str">
        <f>Calendario!$D137</f>
        <v>Clamor on line</v>
      </c>
      <c r="E137" s="5" t="str">
        <f>Calendario!$E137</f>
        <v/>
      </c>
      <c r="F137" s="5" t="str">
        <f>Calendario!$F137</f>
        <v/>
      </c>
      <c r="G137" s="5"/>
      <c r="H137" s="6" t="str">
        <f t="shared" si="1"/>
        <v>2</v>
      </c>
      <c r="I137" s="6"/>
      <c r="J137" s="10" t="str">
        <f>'traspo ñ alterar'!$B137</f>
        <v>24/6/26</v>
      </c>
      <c r="K137" s="6" t="str">
        <f t="shared" si="2"/>
        <v/>
      </c>
      <c r="L137" s="6" t="str">
        <f t="shared" si="3"/>
        <v/>
      </c>
      <c r="M137" s="6" t="str">
        <f t="shared" si="4"/>
        <v/>
      </c>
      <c r="N137" s="6" t="str">
        <f t="shared" si="5"/>
        <v>OCULTAR</v>
      </c>
    </row>
    <row r="138" ht="15.75" customHeight="1">
      <c r="A138" s="1"/>
      <c r="B138" s="8" t="str">
        <f>Calendario!$B138</f>
        <v>25/6</v>
      </c>
      <c r="C138" s="3" t="str">
        <f>Calendario!$C138</f>
        <v>Thursday</v>
      </c>
      <c r="D138" s="9" t="str">
        <f>Calendario!$D138</f>
        <v>Clamor on line</v>
      </c>
      <c r="E138" s="5" t="str">
        <f>Calendario!$E138</f>
        <v/>
      </c>
      <c r="F138" s="5" t="str">
        <f>Calendario!$F138</f>
        <v/>
      </c>
      <c r="G138" s="5"/>
      <c r="H138" s="6" t="str">
        <f t="shared" si="1"/>
        <v>1</v>
      </c>
      <c r="I138" s="6"/>
      <c r="J138" s="10" t="str">
        <f>'traspo ñ alterar'!$B138</f>
        <v>25/6/26</v>
      </c>
      <c r="K138" s="6" t="str">
        <f t="shared" si="2"/>
        <v>Clamor on line</v>
      </c>
      <c r="L138" s="6" t="str">
        <f t="shared" si="3"/>
        <v/>
      </c>
      <c r="M138" s="6" t="str">
        <f t="shared" si="4"/>
        <v/>
      </c>
      <c r="N138" s="6" t="str">
        <f t="shared" si="5"/>
        <v>MOSTRAR</v>
      </c>
    </row>
    <row r="139" ht="15.75" customHeight="1">
      <c r="A139" s="1"/>
      <c r="B139" s="8" t="str">
        <f>Calendario!$B139</f>
        <v>26/6</v>
      </c>
      <c r="C139" s="3" t="str">
        <f>Calendario!$C139</f>
        <v>Friday</v>
      </c>
      <c r="D139" s="9" t="str">
        <f>Calendario!$D139</f>
        <v>Sexta cabeceira</v>
      </c>
      <c r="E139" s="5" t="str">
        <f>Calendario!$E139</f>
        <v>Quadra</v>
      </c>
      <c r="F139" s="5" t="str">
        <f>Calendario!$F139</f>
        <v>Inteensos</v>
      </c>
      <c r="G139" s="5"/>
      <c r="H139" s="6" t="str">
        <f t="shared" si="1"/>
        <v>1</v>
      </c>
      <c r="I139" s="6"/>
      <c r="J139" s="10" t="str">
        <f>'traspo ñ alterar'!$B139</f>
        <v>26/6/26</v>
      </c>
      <c r="K139" s="6" t="str">
        <f t="shared" si="2"/>
        <v>Sexta cabeceira</v>
      </c>
      <c r="L139" s="6" t="str">
        <f t="shared" si="3"/>
        <v>Clamor on line</v>
      </c>
      <c r="M139" s="6" t="str">
        <f t="shared" si="4"/>
        <v/>
      </c>
      <c r="N139" s="6" t="str">
        <f t="shared" si="5"/>
        <v>MOSTRAR</v>
      </c>
    </row>
    <row r="140" ht="15.75" customHeight="1">
      <c r="A140" s="1"/>
      <c r="B140" s="8" t="str">
        <f>Calendario!$B140</f>
        <v>26/6</v>
      </c>
      <c r="C140" s="3" t="str">
        <f>Calendario!$C140</f>
        <v>Friday</v>
      </c>
      <c r="D140" s="9" t="str">
        <f>Calendario!$D140</f>
        <v>Clamor on line</v>
      </c>
      <c r="E140" s="5" t="str">
        <f>Calendario!$E140</f>
        <v/>
      </c>
      <c r="F140" s="5" t="str">
        <f>Calendario!$F140</f>
        <v/>
      </c>
      <c r="G140" s="5"/>
      <c r="H140" s="6" t="str">
        <f t="shared" si="1"/>
        <v>2</v>
      </c>
      <c r="I140" s="6"/>
      <c r="J140" s="10" t="str">
        <f>'traspo ñ alterar'!$B140</f>
        <v>26/6/26</v>
      </c>
      <c r="K140" s="6" t="str">
        <f t="shared" si="2"/>
        <v/>
      </c>
      <c r="L140" s="6" t="str">
        <f t="shared" si="3"/>
        <v/>
      </c>
      <c r="M140" s="6" t="str">
        <f t="shared" si="4"/>
        <v/>
      </c>
      <c r="N140" s="6" t="str">
        <f t="shared" si="5"/>
        <v>OCULTAR</v>
      </c>
    </row>
    <row r="141" ht="15.75" customHeight="1">
      <c r="A141" s="1"/>
      <c r="B141" s="8" t="str">
        <f>Calendario!$B141</f>
        <v>27/6</v>
      </c>
      <c r="C141" s="3" t="str">
        <f>Calendario!$C141</f>
        <v>Saturday</v>
      </c>
      <c r="D141" s="9" t="str">
        <f>Calendario!$D141</f>
        <v>Conferência de Louvor - 19h</v>
      </c>
      <c r="E141" s="5" t="str">
        <f>Calendario!$E141</f>
        <v>Templo</v>
      </c>
      <c r="F141" s="5" t="str">
        <f>Calendario!$F141</f>
        <v>Louvor</v>
      </c>
      <c r="G141" s="5"/>
      <c r="H141" s="6" t="str">
        <f t="shared" si="1"/>
        <v>1</v>
      </c>
      <c r="I141" s="6"/>
      <c r="J141" s="10" t="str">
        <f>'traspo ñ alterar'!$B141</f>
        <v>27/6/26</v>
      </c>
      <c r="K141" s="6" t="str">
        <f t="shared" si="2"/>
        <v>Conferência de Louvor - 19h</v>
      </c>
      <c r="L141" s="6" t="str">
        <f t="shared" si="3"/>
        <v/>
      </c>
      <c r="M141" s="6" t="str">
        <f t="shared" si="4"/>
        <v/>
      </c>
      <c r="N141" s="6" t="str">
        <f t="shared" si="5"/>
        <v>MOSTRAR</v>
      </c>
    </row>
    <row r="142" ht="15.75" customHeight="1">
      <c r="A142" s="1"/>
      <c r="B142" s="8" t="str">
        <f>Calendario!$B142</f>
        <v>28/6</v>
      </c>
      <c r="C142" s="3" t="str">
        <f>Calendario!$C142</f>
        <v>Sunday</v>
      </c>
      <c r="D142" s="9" t="str">
        <f>Calendario!$D142</f>
        <v>Conferência de Louvor (9h e 18h)</v>
      </c>
      <c r="E142" s="5" t="str">
        <f>Calendario!$E142</f>
        <v>Templo</v>
      </c>
      <c r="F142" s="5" t="str">
        <f>Calendario!$F142</f>
        <v>Louvor</v>
      </c>
      <c r="G142" s="5"/>
      <c r="H142" s="6" t="str">
        <f t="shared" si="1"/>
        <v>1</v>
      </c>
      <c r="I142" s="6"/>
      <c r="J142" s="10" t="str">
        <f>'traspo ñ alterar'!$B142</f>
        <v>28/6/26</v>
      </c>
      <c r="K142" s="6" t="str">
        <f t="shared" si="2"/>
        <v>Conferência de Louvor (9h e 18h)</v>
      </c>
      <c r="L142" s="6" t="str">
        <f t="shared" si="3"/>
        <v/>
      </c>
      <c r="M142" s="6" t="str">
        <f t="shared" si="4"/>
        <v/>
      </c>
      <c r="N142" s="6" t="str">
        <f t="shared" si="5"/>
        <v>MOSTRAR</v>
      </c>
    </row>
    <row r="143" ht="15.75" customHeight="1">
      <c r="A143" s="1"/>
      <c r="B143" s="8" t="str">
        <f>Calendario!$B143</f>
        <v>1/7</v>
      </c>
      <c r="C143" s="3" t="str">
        <f>Calendario!$C143</f>
        <v>Wednesday</v>
      </c>
      <c r="D143" s="9" t="str">
        <f>Calendario!$D143</f>
        <v>Célula</v>
      </c>
      <c r="E143" s="5" t="str">
        <f>Calendario!$E143</f>
        <v/>
      </c>
      <c r="F143" s="5" t="str">
        <f>Calendario!$F143</f>
        <v/>
      </c>
      <c r="G143" s="5"/>
      <c r="H143" s="6" t="str">
        <f t="shared" si="1"/>
        <v>1</v>
      </c>
      <c r="I143" s="6"/>
      <c r="J143" s="10" t="str">
        <f>'traspo ñ alterar'!$B143</f>
        <v>1/7/26</v>
      </c>
      <c r="K143" s="6" t="str">
        <f t="shared" si="2"/>
        <v>Célula</v>
      </c>
      <c r="L143" s="6" t="str">
        <f t="shared" si="3"/>
        <v/>
      </c>
      <c r="M143" s="6" t="str">
        <f t="shared" si="4"/>
        <v/>
      </c>
      <c r="N143" s="6" t="str">
        <f t="shared" si="5"/>
        <v>MOSTRAR</v>
      </c>
    </row>
    <row r="144" ht="15.75" customHeight="1">
      <c r="A144" s="1"/>
      <c r="B144" s="8" t="str">
        <f>Calendario!$B144</f>
        <v>2/7</v>
      </c>
      <c r="C144" s="3" t="str">
        <f>Calendario!$C144</f>
        <v>Thursday</v>
      </c>
      <c r="D144" s="9" t="str">
        <f>Calendario!$D144</f>
        <v>Levantar a Equipe do Reencontro</v>
      </c>
      <c r="E144" s="5" t="str">
        <f>Calendario!$E144</f>
        <v/>
      </c>
      <c r="F144" s="5" t="str">
        <f>Calendario!$F144</f>
        <v>Secretaria do discipulado</v>
      </c>
      <c r="G144" s="5"/>
      <c r="H144" s="6" t="str">
        <f t="shared" si="1"/>
        <v>1</v>
      </c>
      <c r="I144" s="6"/>
      <c r="J144" s="10" t="str">
        <f>'traspo ñ alterar'!$B144</f>
        <v>2/7/26</v>
      </c>
      <c r="K144" s="6" t="str">
        <f t="shared" si="2"/>
        <v>Levantar a Equipe do Reencontro</v>
      </c>
      <c r="L144" s="6" t="str">
        <f t="shared" si="3"/>
        <v/>
      </c>
      <c r="M144" s="6" t="str">
        <f t="shared" si="4"/>
        <v/>
      </c>
      <c r="N144" s="6" t="str">
        <f t="shared" si="5"/>
        <v>MOSTRAR</v>
      </c>
    </row>
    <row r="145" ht="15.75" customHeight="1">
      <c r="A145" s="1"/>
      <c r="B145" s="8" t="str">
        <f>Calendario!$B145</f>
        <v>3/7</v>
      </c>
      <c r="C145" s="3" t="str">
        <f>Calendario!$C145</f>
        <v>Friday</v>
      </c>
      <c r="D145" s="9" t="str">
        <f>Calendario!$D145</f>
        <v>Vigília</v>
      </c>
      <c r="E145" s="5" t="str">
        <f>Calendario!$E145</f>
        <v>Templo</v>
      </c>
      <c r="F145" s="5" t="str">
        <f>Calendario!$F145</f>
        <v>Intercessão</v>
      </c>
      <c r="G145" s="5"/>
      <c r="H145" s="6" t="str">
        <f t="shared" si="1"/>
        <v>1</v>
      </c>
      <c r="I145" s="6"/>
      <c r="J145" s="10" t="str">
        <f>'traspo ñ alterar'!$B145</f>
        <v>3/7/26</v>
      </c>
      <c r="K145" s="6" t="str">
        <f t="shared" si="2"/>
        <v>Vigília</v>
      </c>
      <c r="L145" s="6" t="str">
        <f t="shared" si="3"/>
        <v>Sexta cabeceira</v>
      </c>
      <c r="M145" s="6" t="str">
        <f t="shared" si="4"/>
        <v/>
      </c>
      <c r="N145" s="6" t="str">
        <f t="shared" si="5"/>
        <v>MOSTRAR</v>
      </c>
    </row>
    <row r="146" ht="15.75" customHeight="1">
      <c r="A146" s="1"/>
      <c r="B146" s="8" t="str">
        <f>Calendario!$B146</f>
        <v>3/7</v>
      </c>
      <c r="C146" s="3" t="str">
        <f>Calendario!$C146</f>
        <v>Friday</v>
      </c>
      <c r="D146" s="9" t="str">
        <f>Calendario!$D146</f>
        <v>Sexta cabeceira</v>
      </c>
      <c r="E146" s="5" t="str">
        <f>Calendario!$E146</f>
        <v>Quadra</v>
      </c>
      <c r="F146" s="5" t="str">
        <f>Calendario!$F146</f>
        <v>Inteensos</v>
      </c>
      <c r="G146" s="5"/>
      <c r="H146" s="6" t="str">
        <f t="shared" si="1"/>
        <v>2</v>
      </c>
      <c r="I146" s="6"/>
      <c r="J146" s="10" t="str">
        <f>'traspo ñ alterar'!$B146</f>
        <v>3/7/26</v>
      </c>
      <c r="K146" s="6" t="str">
        <f t="shared" si="2"/>
        <v/>
      </c>
      <c r="L146" s="6" t="str">
        <f t="shared" si="3"/>
        <v/>
      </c>
      <c r="M146" s="6" t="str">
        <f t="shared" si="4"/>
        <v/>
      </c>
      <c r="N146" s="6" t="str">
        <f t="shared" si="5"/>
        <v>OCULTAR</v>
      </c>
    </row>
    <row r="147" ht="15.75" customHeight="1">
      <c r="A147" s="1"/>
      <c r="B147" s="8" t="str">
        <f>Calendario!$B147</f>
        <v>5/7</v>
      </c>
      <c r="C147" s="3" t="str">
        <f>Calendario!$C147</f>
        <v>Sunday</v>
      </c>
      <c r="D147" s="9" t="str">
        <f>Calendario!$D147</f>
        <v>Culto em Rio Brilhante</v>
      </c>
      <c r="E147" s="5" t="str">
        <f>Calendario!$E147</f>
        <v/>
      </c>
      <c r="F147" s="5" t="str">
        <f>Calendario!$F147</f>
        <v/>
      </c>
      <c r="G147" s="5"/>
      <c r="H147" s="6" t="str">
        <f t="shared" si="1"/>
        <v>1</v>
      </c>
      <c r="I147" s="6"/>
      <c r="J147" s="10" t="str">
        <f>'traspo ñ alterar'!$B147</f>
        <v>5/7/26</v>
      </c>
      <c r="K147" s="6" t="str">
        <f t="shared" si="2"/>
        <v>Culto em Rio Brilhante</v>
      </c>
      <c r="L147" s="6" t="str">
        <f t="shared" si="3"/>
        <v/>
      </c>
      <c r="M147" s="6" t="str">
        <f t="shared" si="4"/>
        <v/>
      </c>
      <c r="N147" s="6" t="str">
        <f t="shared" si="5"/>
        <v>MOSTRAR</v>
      </c>
    </row>
    <row r="148" ht="15.75" customHeight="1">
      <c r="A148" s="1"/>
      <c r="B148" s="8" t="str">
        <f>Calendario!$B148</f>
        <v>7/7</v>
      </c>
      <c r="C148" s="3" t="str">
        <f>Calendario!$C148</f>
        <v>Tuesday</v>
      </c>
      <c r="D148" s="9" t="str">
        <f>Calendario!$D148</f>
        <v>Reunião Reencontro com Deus</v>
      </c>
      <c r="E148" s="5" t="str">
        <f>Calendario!$E148</f>
        <v>A definir</v>
      </c>
      <c r="F148" s="5" t="str">
        <f>Calendario!$F148</f>
        <v>Secretaria do discipulado</v>
      </c>
      <c r="G148" s="5"/>
      <c r="H148" s="6" t="str">
        <f t="shared" si="1"/>
        <v>1</v>
      </c>
      <c r="I148" s="6"/>
      <c r="J148" s="10" t="str">
        <f>'traspo ñ alterar'!$B148</f>
        <v>7/7/26</v>
      </c>
      <c r="K148" s="6" t="str">
        <f t="shared" si="2"/>
        <v>Reunião Reencontro com Deus</v>
      </c>
      <c r="L148" s="6" t="str">
        <f t="shared" si="3"/>
        <v/>
      </c>
      <c r="M148" s="6" t="str">
        <f t="shared" si="4"/>
        <v/>
      </c>
      <c r="N148" s="6" t="str">
        <f t="shared" si="5"/>
        <v>MOSTRAR</v>
      </c>
    </row>
    <row r="149" ht="15.75" customHeight="1">
      <c r="A149" s="1"/>
      <c r="B149" s="8" t="str">
        <f>Calendario!$B149</f>
        <v>8/7</v>
      </c>
      <c r="C149" s="3" t="str">
        <f>Calendario!$C149</f>
        <v>Wednesday</v>
      </c>
      <c r="D149" s="9" t="str">
        <f>Calendario!$D149</f>
        <v>Célula</v>
      </c>
      <c r="E149" s="5" t="str">
        <f>Calendario!$E149</f>
        <v/>
      </c>
      <c r="F149" s="5" t="str">
        <f>Calendario!$F149</f>
        <v/>
      </c>
      <c r="G149" s="5"/>
      <c r="H149" s="6" t="str">
        <f t="shared" si="1"/>
        <v>1</v>
      </c>
      <c r="I149" s="6"/>
      <c r="J149" s="10" t="str">
        <f>'traspo ñ alterar'!$B149</f>
        <v>8/7/26</v>
      </c>
      <c r="K149" s="6" t="str">
        <f t="shared" si="2"/>
        <v>Célula</v>
      </c>
      <c r="L149" s="6" t="str">
        <f t="shared" si="3"/>
        <v/>
      </c>
      <c r="M149" s="6" t="str">
        <f t="shared" si="4"/>
        <v/>
      </c>
      <c r="N149" s="6" t="str">
        <f t="shared" si="5"/>
        <v>MOSTRAR</v>
      </c>
    </row>
    <row r="150" ht="15.75" customHeight="1">
      <c r="A150" s="1"/>
      <c r="B150" s="8" t="str">
        <f>Calendario!$B150</f>
        <v>9/7</v>
      </c>
      <c r="C150" s="3" t="str">
        <f>Calendario!$C150</f>
        <v>Thursday</v>
      </c>
      <c r="D150" s="9" t="str">
        <f>Calendario!$D150</f>
        <v>Encontro Mensal de Mulheres</v>
      </c>
      <c r="E150" s="5" t="str">
        <f>Calendario!$E150</f>
        <v>/comidas tipicas</v>
      </c>
      <c r="F150" s="5" t="str">
        <f>Calendario!$F150</f>
        <v>SMM</v>
      </c>
      <c r="G150" s="5"/>
      <c r="H150" s="6" t="str">
        <f t="shared" si="1"/>
        <v>1</v>
      </c>
      <c r="I150" s="6"/>
      <c r="J150" s="10" t="str">
        <f>'traspo ñ alterar'!$B150</f>
        <v>9/7/26</v>
      </c>
      <c r="K150" s="6" t="str">
        <f t="shared" si="2"/>
        <v>Encontro Mensal de Mulheres</v>
      </c>
      <c r="L150" s="6" t="str">
        <f t="shared" si="3"/>
        <v/>
      </c>
      <c r="M150" s="6" t="str">
        <f t="shared" si="4"/>
        <v/>
      </c>
      <c r="N150" s="6" t="str">
        <f t="shared" si="5"/>
        <v>MOSTRAR</v>
      </c>
    </row>
    <row r="151" ht="15.75" customHeight="1">
      <c r="A151" s="1"/>
      <c r="B151" s="8" t="str">
        <f>Calendario!$B151</f>
        <v>10/7</v>
      </c>
      <c r="C151" s="3" t="str">
        <f>Calendario!$C151</f>
        <v>Friday</v>
      </c>
      <c r="D151" s="9" t="str">
        <f>Calendario!$D151</f>
        <v>Sexta cabeceira</v>
      </c>
      <c r="E151" s="5" t="str">
        <f>Calendario!$E151</f>
        <v>Quadra</v>
      </c>
      <c r="F151" s="5" t="str">
        <f>Calendario!$F151</f>
        <v>Inteensos</v>
      </c>
      <c r="G151" s="5"/>
      <c r="H151" s="6" t="str">
        <f t="shared" si="1"/>
        <v>1</v>
      </c>
      <c r="I151" s="6"/>
      <c r="J151" s="10" t="str">
        <f>'traspo ñ alterar'!$B151</f>
        <v>10/7/26</v>
      </c>
      <c r="K151" s="6" t="str">
        <f t="shared" si="2"/>
        <v>Sexta cabeceira</v>
      </c>
      <c r="L151" s="6" t="str">
        <f t="shared" si="3"/>
        <v/>
      </c>
      <c r="M151" s="6" t="str">
        <f t="shared" si="4"/>
        <v/>
      </c>
      <c r="N151" s="6" t="str">
        <f t="shared" si="5"/>
        <v>MOSTRAR</v>
      </c>
    </row>
    <row r="152" ht="15.75" customHeight="1">
      <c r="A152" s="1"/>
      <c r="B152" s="8" t="str">
        <f>Calendario!$B152</f>
        <v>11/7</v>
      </c>
      <c r="C152" s="3" t="str">
        <f>Calendario!$C152</f>
        <v>Saturday</v>
      </c>
      <c r="D152" s="9" t="str">
        <f>Calendario!$D152</f>
        <v>Festival de Inverno</v>
      </c>
      <c r="E152" s="5" t="str">
        <f>Calendario!$E152</f>
        <v>Varanda</v>
      </c>
      <c r="F152" s="5" t="str">
        <f>Calendario!$F152</f>
        <v>Secretaria do discipulado</v>
      </c>
      <c r="G152" s="5"/>
      <c r="H152" s="6" t="str">
        <f t="shared" si="1"/>
        <v>1</v>
      </c>
      <c r="I152" s="6"/>
      <c r="J152" s="10" t="str">
        <f>'traspo ñ alterar'!$B152</f>
        <v>11/7/26</v>
      </c>
      <c r="K152" s="6" t="str">
        <f t="shared" si="2"/>
        <v>Festival de Inverno</v>
      </c>
      <c r="L152" s="6" t="str">
        <f t="shared" si="3"/>
        <v>Relogio de oração</v>
      </c>
      <c r="M152" s="6" t="str">
        <f t="shared" si="4"/>
        <v/>
      </c>
      <c r="N152" s="6" t="str">
        <f t="shared" si="5"/>
        <v>MOSTRAR</v>
      </c>
    </row>
    <row r="153" ht="15.75" customHeight="1">
      <c r="A153" s="1"/>
      <c r="B153" s="8" t="str">
        <f>Calendario!$B153</f>
        <v>11/7</v>
      </c>
      <c r="C153" s="3" t="str">
        <f>Calendario!$C153</f>
        <v>Saturday</v>
      </c>
      <c r="D153" s="9" t="str">
        <f>Calendario!$D153</f>
        <v>Relogio de oração</v>
      </c>
      <c r="E153" s="5" t="str">
        <f>Calendario!$E153</f>
        <v/>
      </c>
      <c r="F153" s="5" t="str">
        <f>Calendario!$F153</f>
        <v>Intercessão</v>
      </c>
      <c r="G153" s="5"/>
      <c r="H153" s="6" t="str">
        <f t="shared" si="1"/>
        <v>2</v>
      </c>
      <c r="I153" s="6"/>
      <c r="J153" s="10" t="str">
        <f>'traspo ñ alterar'!$B153</f>
        <v>11/7/26</v>
      </c>
      <c r="K153" s="6" t="str">
        <f t="shared" si="2"/>
        <v/>
      </c>
      <c r="L153" s="6" t="str">
        <f t="shared" si="3"/>
        <v/>
      </c>
      <c r="M153" s="6" t="str">
        <f t="shared" si="4"/>
        <v/>
      </c>
      <c r="N153" s="6" t="str">
        <f t="shared" si="5"/>
        <v>OCULTAR</v>
      </c>
    </row>
    <row r="154" ht="15.75" customHeight="1">
      <c r="A154" s="1"/>
      <c r="B154" s="8" t="str">
        <f>Calendario!$B154</f>
        <v>12/7</v>
      </c>
      <c r="C154" s="3" t="str">
        <f>Calendario!$C154</f>
        <v>Sunday</v>
      </c>
      <c r="D154" s="9" t="str">
        <f>Calendario!$D154</f>
        <v>Cantina prol GE</v>
      </c>
      <c r="E154" s="5" t="str">
        <f>Calendario!$E154</f>
        <v>A definir</v>
      </c>
      <c r="F154" s="5" t="str">
        <f>Calendario!$F154</f>
        <v>Inteensos</v>
      </c>
      <c r="G154" s="5"/>
      <c r="H154" s="6" t="str">
        <f t="shared" si="1"/>
        <v>1</v>
      </c>
      <c r="I154" s="6"/>
      <c r="J154" s="10" t="str">
        <f>'traspo ñ alterar'!$B154</f>
        <v>12/7/26</v>
      </c>
      <c r="K154" s="6" t="str">
        <f t="shared" si="2"/>
        <v>Cantina prol GE</v>
      </c>
      <c r="L154" s="6" t="str">
        <f t="shared" si="3"/>
        <v/>
      </c>
      <c r="M154" s="6" t="str">
        <f t="shared" si="4"/>
        <v/>
      </c>
      <c r="N154" s="6" t="str">
        <f t="shared" si="5"/>
        <v>MOSTRAR</v>
      </c>
    </row>
    <row r="155" ht="15.75" customHeight="1">
      <c r="A155" s="1"/>
      <c r="B155" s="8" t="str">
        <f>Calendario!$B155</f>
        <v>15/7</v>
      </c>
      <c r="C155" s="3" t="str">
        <f>Calendario!$C155</f>
        <v>Wednesday</v>
      </c>
      <c r="D155" s="9" t="str">
        <f>Calendario!$D155</f>
        <v>Célula</v>
      </c>
      <c r="E155" s="5" t="str">
        <f>Calendario!$E155</f>
        <v/>
      </c>
      <c r="F155" s="5" t="str">
        <f>Calendario!$F155</f>
        <v/>
      </c>
      <c r="G155" s="5"/>
      <c r="H155" s="6" t="str">
        <f t="shared" si="1"/>
        <v>1</v>
      </c>
      <c r="I155" s="6"/>
      <c r="J155" s="10" t="str">
        <f>'traspo ñ alterar'!$B155</f>
        <v>15/7/26</v>
      </c>
      <c r="K155" s="6" t="str">
        <f t="shared" si="2"/>
        <v>Célula</v>
      </c>
      <c r="L155" s="6" t="str">
        <f t="shared" si="3"/>
        <v/>
      </c>
      <c r="M155" s="6" t="str">
        <f t="shared" si="4"/>
        <v/>
      </c>
      <c r="N155" s="6" t="str">
        <f t="shared" si="5"/>
        <v>MOSTRAR</v>
      </c>
    </row>
    <row r="156" ht="15.75" customHeight="1">
      <c r="A156" s="1"/>
      <c r="B156" s="8" t="str">
        <f>Calendario!$B156</f>
        <v>16/7</v>
      </c>
      <c r="C156" s="3" t="str">
        <f>Calendario!$C156</f>
        <v>Thursday</v>
      </c>
      <c r="D156" s="9" t="str">
        <f>Calendario!$D156</f>
        <v>Park games</v>
      </c>
      <c r="E156" s="5" t="str">
        <f>Calendario!$E156</f>
        <v>Shopping</v>
      </c>
      <c r="F156" s="5" t="str">
        <f>Calendario!$F156</f>
        <v>Metokids</v>
      </c>
      <c r="G156" s="5"/>
      <c r="H156" s="6" t="str">
        <f t="shared" si="1"/>
        <v>1</v>
      </c>
      <c r="I156" s="6"/>
      <c r="J156" s="10" t="str">
        <f>'traspo ñ alterar'!$B156</f>
        <v>16/7/26</v>
      </c>
      <c r="K156" s="6" t="str">
        <f t="shared" si="2"/>
        <v>Park games</v>
      </c>
      <c r="L156" s="6" t="str">
        <f t="shared" si="3"/>
        <v>Culto de homens</v>
      </c>
      <c r="M156" s="6" t="str">
        <f t="shared" si="4"/>
        <v/>
      </c>
      <c r="N156" s="6" t="str">
        <f t="shared" si="5"/>
        <v>MOSTRAR</v>
      </c>
    </row>
    <row r="157" ht="15.75" customHeight="1">
      <c r="A157" s="1"/>
      <c r="B157" s="8" t="str">
        <f>Calendario!$B157</f>
        <v>16/7</v>
      </c>
      <c r="C157" s="3" t="str">
        <f>Calendario!$C157</f>
        <v>Thursday</v>
      </c>
      <c r="D157" s="9" t="str">
        <f>Calendario!$D157</f>
        <v>Culto de homens</v>
      </c>
      <c r="E157" s="5" t="str">
        <f>Calendario!$E157</f>
        <v>Metokids</v>
      </c>
      <c r="F157" s="5" t="str">
        <f>Calendario!$F157</f>
        <v>SMH</v>
      </c>
      <c r="G157" s="5"/>
      <c r="H157" s="6" t="str">
        <f t="shared" si="1"/>
        <v>2</v>
      </c>
      <c r="I157" s="6"/>
      <c r="J157" s="10" t="str">
        <f>'traspo ñ alterar'!$B157</f>
        <v>16/7/26</v>
      </c>
      <c r="K157" s="6" t="str">
        <f t="shared" si="2"/>
        <v/>
      </c>
      <c r="L157" s="6" t="str">
        <f t="shared" si="3"/>
        <v/>
      </c>
      <c r="M157" s="6" t="str">
        <f t="shared" si="4"/>
        <v/>
      </c>
      <c r="N157" s="6" t="str">
        <f t="shared" si="5"/>
        <v>OCULTAR</v>
      </c>
    </row>
    <row r="158" ht="15.75" customHeight="1">
      <c r="A158" s="1"/>
      <c r="B158" s="8" t="str">
        <f>Calendario!$B158</f>
        <v>17/7</v>
      </c>
      <c r="C158" s="3" t="str">
        <f>Calendario!$C158</f>
        <v>Friday</v>
      </c>
      <c r="D158" s="9" t="str">
        <f>Calendario!$D158</f>
        <v>Sexta cabeceira</v>
      </c>
      <c r="E158" s="5" t="str">
        <f>Calendario!$E158</f>
        <v>Quadra</v>
      </c>
      <c r="F158" s="5" t="str">
        <f>Calendario!$F158</f>
        <v>Inteensos</v>
      </c>
      <c r="G158" s="5"/>
      <c r="H158" s="6" t="str">
        <f t="shared" si="1"/>
        <v>1</v>
      </c>
      <c r="I158" s="6"/>
      <c r="J158" s="10" t="str">
        <f>'traspo ñ alterar'!$B158</f>
        <v>17/7/26</v>
      </c>
      <c r="K158" s="6" t="str">
        <f t="shared" si="2"/>
        <v>Sexta cabeceira</v>
      </c>
      <c r="L158" s="6" t="str">
        <f t="shared" si="3"/>
        <v/>
      </c>
      <c r="M158" s="6" t="str">
        <f t="shared" si="4"/>
        <v/>
      </c>
      <c r="N158" s="6" t="str">
        <f t="shared" si="5"/>
        <v>MOSTRAR</v>
      </c>
    </row>
    <row r="159" ht="15.75" customHeight="1">
      <c r="A159" s="1"/>
      <c r="B159" s="8" t="str">
        <f>Calendario!$B159</f>
        <v>18/7</v>
      </c>
      <c r="C159" s="3" t="str">
        <f>Calendario!$C159</f>
        <v>Saturday</v>
      </c>
      <c r="D159" s="9" t="str">
        <f>Calendario!$D159</f>
        <v>Inteensos</v>
      </c>
      <c r="E159" s="5" t="str">
        <f>Calendario!$E159</f>
        <v>Templo</v>
      </c>
      <c r="F159" s="5" t="str">
        <f>Calendario!$F159</f>
        <v>Inteensos</v>
      </c>
      <c r="G159" s="5"/>
      <c r="H159" s="6" t="str">
        <f t="shared" si="1"/>
        <v>1</v>
      </c>
      <c r="I159" s="6"/>
      <c r="J159" s="10" t="str">
        <f>'traspo ñ alterar'!$B159</f>
        <v>18/7/26</v>
      </c>
      <c r="K159" s="6" t="str">
        <f t="shared" si="2"/>
        <v>Inteensos</v>
      </c>
      <c r="L159" s="6" t="str">
        <f t="shared" si="3"/>
        <v/>
      </c>
      <c r="M159" s="6" t="str">
        <f t="shared" si="4"/>
        <v/>
      </c>
      <c r="N159" s="6" t="str">
        <f t="shared" si="5"/>
        <v>MOSTRAR</v>
      </c>
    </row>
    <row r="160" ht="15.75" customHeight="1">
      <c r="A160" s="1"/>
      <c r="B160" s="8" t="str">
        <f>Calendario!$B160</f>
        <v>22/7</v>
      </c>
      <c r="C160" s="3" t="str">
        <f>Calendario!$C160</f>
        <v>Wednesday</v>
      </c>
      <c r="D160" s="9" t="str">
        <f>Calendario!$D160</f>
        <v>Célula</v>
      </c>
      <c r="E160" s="5" t="str">
        <f>Calendario!$E160</f>
        <v/>
      </c>
      <c r="F160" s="5" t="str">
        <f>Calendario!$F160</f>
        <v/>
      </c>
      <c r="G160" s="5"/>
      <c r="H160" s="6" t="str">
        <f t="shared" si="1"/>
        <v>1</v>
      </c>
      <c r="I160" s="6"/>
      <c r="J160" s="10" t="str">
        <f>'traspo ñ alterar'!$B160</f>
        <v>22/7/26</v>
      </c>
      <c r="K160" s="6" t="str">
        <f t="shared" si="2"/>
        <v>Célula</v>
      </c>
      <c r="L160" s="6" t="str">
        <f t="shared" si="3"/>
        <v/>
      </c>
      <c r="M160" s="6" t="str">
        <f t="shared" si="4"/>
        <v/>
      </c>
      <c r="N160" s="6" t="str">
        <f t="shared" si="5"/>
        <v>MOSTRAR</v>
      </c>
    </row>
    <row r="161" ht="15.75" customHeight="1">
      <c r="A161" s="1"/>
      <c r="B161" s="8" t="str">
        <f>Calendario!$B161</f>
        <v>24/7</v>
      </c>
      <c r="C161" s="3" t="str">
        <f>Calendario!$C161</f>
        <v>Friday</v>
      </c>
      <c r="D161" s="9" t="str">
        <f>Calendario!$D161</f>
        <v>Sexta cabeceira</v>
      </c>
      <c r="E161" s="5" t="str">
        <f>Calendario!$E161</f>
        <v>Quadra</v>
      </c>
      <c r="F161" s="5" t="str">
        <f>Calendario!$F161</f>
        <v>Inteensos</v>
      </c>
      <c r="G161" s="5"/>
      <c r="H161" s="6" t="str">
        <f t="shared" si="1"/>
        <v>1</v>
      </c>
      <c r="I161" s="6"/>
      <c r="J161" s="10" t="str">
        <f>'traspo ñ alterar'!$B161</f>
        <v>24/7/26</v>
      </c>
      <c r="K161" s="6" t="str">
        <f t="shared" si="2"/>
        <v>Sexta cabeceira</v>
      </c>
      <c r="L161" s="6" t="str">
        <f t="shared" si="3"/>
        <v/>
      </c>
      <c r="M161" s="6" t="str">
        <f t="shared" si="4"/>
        <v/>
      </c>
      <c r="N161" s="6" t="str">
        <f t="shared" si="5"/>
        <v>MOSTRAR</v>
      </c>
    </row>
    <row r="162" ht="15.75" customHeight="1">
      <c r="A162" s="1"/>
      <c r="B162" s="8" t="str">
        <f>Calendario!$B162</f>
        <v>25/7</v>
      </c>
      <c r="C162" s="3" t="str">
        <f>Calendario!$C162</f>
        <v>Saturday</v>
      </c>
      <c r="D162" s="9" t="str">
        <f>Calendario!$D162</f>
        <v>Conferência de homens</v>
      </c>
      <c r="E162" s="5" t="str">
        <f>Calendario!$E162</f>
        <v>Templo</v>
      </c>
      <c r="F162" s="5" t="str">
        <f>Calendario!$F162</f>
        <v>SMH</v>
      </c>
      <c r="G162" s="5"/>
      <c r="H162" s="6" t="str">
        <f t="shared" si="1"/>
        <v>1</v>
      </c>
      <c r="I162" s="6"/>
      <c r="J162" s="10" t="str">
        <f>'traspo ñ alterar'!$B162</f>
        <v>25/7/26</v>
      </c>
      <c r="K162" s="6" t="str">
        <f t="shared" si="2"/>
        <v>Conferência de homens</v>
      </c>
      <c r="L162" s="6" t="str">
        <f t="shared" si="3"/>
        <v/>
      </c>
      <c r="M162" s="6" t="str">
        <f t="shared" si="4"/>
        <v/>
      </c>
      <c r="N162" s="6" t="str">
        <f t="shared" si="5"/>
        <v>MOSTRAR</v>
      </c>
    </row>
    <row r="163" ht="15.75" customHeight="1">
      <c r="A163" s="1"/>
      <c r="B163" s="8" t="str">
        <f>Calendario!$B163</f>
        <v>26/7</v>
      </c>
      <c r="C163" s="3" t="str">
        <f>Calendario!$C163</f>
        <v>Sunday</v>
      </c>
      <c r="D163" s="9" t="str">
        <f>Calendario!$D163</f>
        <v>Conferência de homens</v>
      </c>
      <c r="E163" s="5" t="str">
        <f>Calendario!$E163</f>
        <v>Templo</v>
      </c>
      <c r="F163" s="5" t="str">
        <f>Calendario!$F163</f>
        <v>SMH</v>
      </c>
      <c r="G163" s="5"/>
      <c r="H163" s="6" t="str">
        <f t="shared" si="1"/>
        <v>1</v>
      </c>
      <c r="I163" s="6"/>
      <c r="J163" s="10" t="str">
        <f>'traspo ñ alterar'!$B163</f>
        <v>26/7/26</v>
      </c>
      <c r="K163" s="6" t="str">
        <f t="shared" si="2"/>
        <v>Conferência de homens</v>
      </c>
      <c r="L163" s="6" t="str">
        <f t="shared" si="3"/>
        <v>Culto missionário</v>
      </c>
      <c r="M163" s="6" t="str">
        <f t="shared" si="4"/>
        <v/>
      </c>
      <c r="N163" s="6" t="str">
        <f t="shared" si="5"/>
        <v>MOSTRAR</v>
      </c>
    </row>
    <row r="164" ht="15.75" customHeight="1">
      <c r="A164" s="1"/>
      <c r="B164" s="8" t="str">
        <f>Calendario!$B164</f>
        <v>26/7</v>
      </c>
      <c r="C164" s="3" t="str">
        <f>Calendario!$C164</f>
        <v>Sunday</v>
      </c>
      <c r="D164" s="9" t="str">
        <f>Calendario!$D164</f>
        <v>Culto missionário</v>
      </c>
      <c r="E164" s="5" t="str">
        <f>Calendario!$E164</f>
        <v/>
      </c>
      <c r="F164" s="5" t="str">
        <f>Calendario!$F164</f>
        <v>Pastoral</v>
      </c>
      <c r="G164" s="5"/>
      <c r="H164" s="6" t="str">
        <f t="shared" si="1"/>
        <v>2</v>
      </c>
      <c r="I164" s="6"/>
      <c r="J164" s="10" t="str">
        <f>'traspo ñ alterar'!$B164</f>
        <v>26/7/26</v>
      </c>
      <c r="K164" s="6" t="str">
        <f t="shared" si="2"/>
        <v/>
      </c>
      <c r="L164" s="6" t="str">
        <f t="shared" si="3"/>
        <v/>
      </c>
      <c r="M164" s="6" t="str">
        <f t="shared" si="4"/>
        <v/>
      </c>
      <c r="N164" s="6" t="str">
        <f t="shared" si="5"/>
        <v>OCULTAR</v>
      </c>
    </row>
    <row r="165" ht="15.75" customHeight="1">
      <c r="A165" s="1"/>
      <c r="B165" s="8" t="str">
        <f>Calendario!$B165</f>
        <v>27/7</v>
      </c>
      <c r="C165" s="3" t="str">
        <f>Calendario!$C165</f>
        <v>Monday</v>
      </c>
      <c r="D165" s="9" t="str">
        <f>Calendario!$D165</f>
        <v>Clamor on line</v>
      </c>
      <c r="E165" s="5" t="str">
        <f>Calendario!$E165</f>
        <v/>
      </c>
      <c r="F165" s="5" t="str">
        <f>Calendario!$F165</f>
        <v>Intercessão</v>
      </c>
      <c r="G165" s="5"/>
      <c r="H165" s="6" t="str">
        <f t="shared" si="1"/>
        <v>1</v>
      </c>
      <c r="I165" s="6"/>
      <c r="J165" s="10" t="str">
        <f>'traspo ñ alterar'!$B165</f>
        <v>27/7/26</v>
      </c>
      <c r="K165" s="6" t="str">
        <f t="shared" si="2"/>
        <v>Clamor on line</v>
      </c>
      <c r="L165" s="6" t="str">
        <f t="shared" si="3"/>
        <v/>
      </c>
      <c r="M165" s="6" t="str">
        <f t="shared" si="4"/>
        <v/>
      </c>
      <c r="N165" s="6" t="str">
        <f t="shared" si="5"/>
        <v>MOSTRAR</v>
      </c>
    </row>
    <row r="166" ht="15.75" customHeight="1">
      <c r="A166" s="1"/>
      <c r="B166" s="8" t="str">
        <f>Calendario!$B166</f>
        <v>28/7</v>
      </c>
      <c r="C166" s="3" t="str">
        <f>Calendario!$C166</f>
        <v>Tuesday</v>
      </c>
      <c r="D166" s="9" t="str">
        <f>Calendario!$D166</f>
        <v>Clamor on line</v>
      </c>
      <c r="E166" s="5" t="str">
        <f>Calendario!$E166</f>
        <v/>
      </c>
      <c r="F166" s="5" t="str">
        <f>Calendario!$F166</f>
        <v>Intercessão</v>
      </c>
      <c r="G166" s="5"/>
      <c r="H166" s="6" t="str">
        <f t="shared" si="1"/>
        <v>1</v>
      </c>
      <c r="I166" s="6"/>
      <c r="J166" s="10" t="str">
        <f>'traspo ñ alterar'!$B166</f>
        <v>28/7/26</v>
      </c>
      <c r="K166" s="6" t="str">
        <f t="shared" si="2"/>
        <v>Clamor on line</v>
      </c>
      <c r="L166" s="6" t="str">
        <f t="shared" si="3"/>
        <v/>
      </c>
      <c r="M166" s="6" t="str">
        <f t="shared" si="4"/>
        <v/>
      </c>
      <c r="N166" s="6" t="str">
        <f t="shared" si="5"/>
        <v>MOSTRAR</v>
      </c>
    </row>
    <row r="167" ht="15.75" customHeight="1">
      <c r="A167" s="1"/>
      <c r="B167" s="8" t="str">
        <f>Calendario!$B167</f>
        <v>29/7</v>
      </c>
      <c r="C167" s="3" t="str">
        <f>Calendario!$C167</f>
        <v>Wednesday</v>
      </c>
      <c r="D167" s="9" t="str">
        <f>Calendario!$D167</f>
        <v>Clamor on line</v>
      </c>
      <c r="E167" s="5" t="str">
        <f>Calendario!$E167</f>
        <v/>
      </c>
      <c r="F167" s="5" t="str">
        <f>Calendario!$F167</f>
        <v>Intercessão</v>
      </c>
      <c r="G167" s="5"/>
      <c r="H167" s="6" t="str">
        <f t="shared" si="1"/>
        <v>1</v>
      </c>
      <c r="I167" s="6"/>
      <c r="J167" s="10" t="str">
        <f>'traspo ñ alterar'!$B167</f>
        <v>29/7/26</v>
      </c>
      <c r="K167" s="6" t="str">
        <f t="shared" si="2"/>
        <v>Clamor on line</v>
      </c>
      <c r="L167" s="6" t="str">
        <f t="shared" si="3"/>
        <v>Célula</v>
      </c>
      <c r="M167" s="6" t="str">
        <f t="shared" si="4"/>
        <v/>
      </c>
      <c r="N167" s="6" t="str">
        <f t="shared" si="5"/>
        <v>MOSTRAR</v>
      </c>
    </row>
    <row r="168" ht="15.75" customHeight="1">
      <c r="A168" s="1"/>
      <c r="B168" s="8" t="str">
        <f>Calendario!$B168</f>
        <v>29/7</v>
      </c>
      <c r="C168" s="3" t="str">
        <f>Calendario!$C168</f>
        <v>Wednesday</v>
      </c>
      <c r="D168" s="9" t="str">
        <f>Calendario!$D168</f>
        <v>Célula</v>
      </c>
      <c r="E168" s="5" t="str">
        <f>Calendario!$E168</f>
        <v/>
      </c>
      <c r="F168" s="5" t="str">
        <f>Calendario!$F168</f>
        <v/>
      </c>
      <c r="G168" s="5"/>
      <c r="H168" s="6" t="str">
        <f t="shared" si="1"/>
        <v>2</v>
      </c>
      <c r="I168" s="6"/>
      <c r="J168" s="10" t="str">
        <f>'traspo ñ alterar'!$B168</f>
        <v>29/7/26</v>
      </c>
      <c r="K168" s="6" t="str">
        <f t="shared" si="2"/>
        <v/>
      </c>
      <c r="L168" s="6" t="str">
        <f t="shared" si="3"/>
        <v/>
      </c>
      <c r="M168" s="6" t="str">
        <f t="shared" si="4"/>
        <v/>
      </c>
      <c r="N168" s="6" t="str">
        <f t="shared" si="5"/>
        <v>OCULTAR</v>
      </c>
    </row>
    <row r="169" ht="15.75" customHeight="1">
      <c r="A169" s="1"/>
      <c r="B169" s="8" t="str">
        <f>Calendario!$B169</f>
        <v>30/7</v>
      </c>
      <c r="C169" s="3" t="str">
        <f>Calendario!$C169</f>
        <v>Thursday</v>
      </c>
      <c r="D169" s="9" t="str">
        <f>Calendario!$D169</f>
        <v>Clamor on line</v>
      </c>
      <c r="E169" s="5" t="str">
        <f>Calendario!$E169</f>
        <v/>
      </c>
      <c r="F169" s="5" t="str">
        <f>Calendario!$F169</f>
        <v>Intercessão</v>
      </c>
      <c r="G169" s="5"/>
      <c r="H169" s="6" t="str">
        <f t="shared" si="1"/>
        <v>1</v>
      </c>
      <c r="I169" s="6"/>
      <c r="J169" s="10" t="str">
        <f>'traspo ñ alterar'!$B169</f>
        <v>30/7/26</v>
      </c>
      <c r="K169" s="6" t="str">
        <f t="shared" si="2"/>
        <v>Clamor on line</v>
      </c>
      <c r="L169" s="6" t="str">
        <f t="shared" si="3"/>
        <v/>
      </c>
      <c r="M169" s="6" t="str">
        <f t="shared" si="4"/>
        <v/>
      </c>
      <c r="N169" s="6" t="str">
        <f t="shared" si="5"/>
        <v>MOSTRAR</v>
      </c>
    </row>
    <row r="170" ht="15.75" customHeight="1">
      <c r="A170" s="1"/>
      <c r="B170" s="8" t="str">
        <f>Calendario!$B170</f>
        <v>31/7</v>
      </c>
      <c r="C170" s="3" t="str">
        <f>Calendario!$C170</f>
        <v>Friday</v>
      </c>
      <c r="D170" s="9" t="str">
        <f>Calendario!$D170</f>
        <v>Clamor on line</v>
      </c>
      <c r="E170" s="5" t="str">
        <f>Calendario!$E170</f>
        <v/>
      </c>
      <c r="F170" s="5" t="str">
        <f>Calendario!$F170</f>
        <v>Intercessão</v>
      </c>
      <c r="G170" s="5"/>
      <c r="H170" s="6" t="str">
        <f t="shared" si="1"/>
        <v>1</v>
      </c>
      <c r="I170" s="6"/>
      <c r="J170" s="10" t="str">
        <f>'traspo ñ alterar'!$B170</f>
        <v>31/7/26</v>
      </c>
      <c r="K170" s="6" t="str">
        <f t="shared" si="2"/>
        <v>Clamor on line</v>
      </c>
      <c r="L170" s="6" t="str">
        <f t="shared" si="3"/>
        <v>Sexta cabeceira</v>
      </c>
      <c r="M170" s="6" t="str">
        <f t="shared" si="4"/>
        <v/>
      </c>
      <c r="N170" s="6" t="str">
        <f t="shared" si="5"/>
        <v>MOSTRAR</v>
      </c>
    </row>
    <row r="171" ht="15.75" customHeight="1">
      <c r="A171" s="1"/>
      <c r="B171" s="8" t="str">
        <f>Calendario!$B171</f>
        <v>31/7</v>
      </c>
      <c r="C171" s="3" t="str">
        <f>Calendario!$C171</f>
        <v>Friday</v>
      </c>
      <c r="D171" s="9" t="str">
        <f>Calendario!$D171</f>
        <v>Sexta cabeceira</v>
      </c>
      <c r="E171" s="5" t="str">
        <f>Calendario!$E171</f>
        <v>Quadra</v>
      </c>
      <c r="F171" s="5" t="str">
        <f>Calendario!$F171</f>
        <v>Inteensos</v>
      </c>
      <c r="G171" s="5"/>
      <c r="H171" s="6" t="str">
        <f t="shared" si="1"/>
        <v>2</v>
      </c>
      <c r="I171" s="6"/>
      <c r="J171" s="10" t="str">
        <f>'traspo ñ alterar'!$B171</f>
        <v>31/7/26</v>
      </c>
      <c r="K171" s="6" t="str">
        <f t="shared" si="2"/>
        <v/>
      </c>
      <c r="L171" s="6" t="str">
        <f t="shared" si="3"/>
        <v/>
      </c>
      <c r="M171" s="6" t="str">
        <f t="shared" si="4"/>
        <v/>
      </c>
      <c r="N171" s="6" t="str">
        <f t="shared" si="5"/>
        <v>OCULTAR</v>
      </c>
    </row>
    <row r="172" ht="15.75" customHeight="1">
      <c r="A172" s="1"/>
      <c r="B172" s="8" t="str">
        <f>Calendario!$B172</f>
        <v>1/8</v>
      </c>
      <c r="C172" s="3" t="str">
        <f>Calendario!$C172</f>
        <v>Saturday</v>
      </c>
      <c r="D172" s="9" t="str">
        <f>Calendario!$D172</f>
        <v>Alinhamento das Células</v>
      </c>
      <c r="E172" s="5" t="str">
        <f>Calendario!$E172</f>
        <v>Templo</v>
      </c>
      <c r="F172" s="5" t="str">
        <f>Calendario!$F172</f>
        <v>Secretaria do discipulado</v>
      </c>
      <c r="G172" s="5"/>
      <c r="H172" s="6" t="str">
        <f t="shared" si="1"/>
        <v>1</v>
      </c>
      <c r="I172" s="6"/>
      <c r="J172" s="10" t="str">
        <f>'traspo ñ alterar'!$B172</f>
        <v>1/8/26</v>
      </c>
      <c r="K172" s="6" t="str">
        <f t="shared" si="2"/>
        <v>Alinhamento das Células</v>
      </c>
      <c r="L172" s="6" t="str">
        <f t="shared" si="3"/>
        <v/>
      </c>
      <c r="M172" s="6" t="str">
        <f t="shared" si="4"/>
        <v/>
      </c>
      <c r="N172" s="6" t="str">
        <f t="shared" si="5"/>
        <v>MOSTRAR</v>
      </c>
    </row>
    <row r="173" ht="15.75" customHeight="1">
      <c r="A173" s="1"/>
      <c r="B173" s="8" t="str">
        <f>Calendario!$B173</f>
        <v>2/8</v>
      </c>
      <c r="C173" s="3" t="str">
        <f>Calendario!$C173</f>
        <v>Sunday</v>
      </c>
      <c r="D173" s="9" t="str">
        <f>Calendario!$D173</f>
        <v>Pais e Filhos</v>
      </c>
      <c r="E173" s="5" t="str">
        <f>Calendario!$E173</f>
        <v>Igreja</v>
      </c>
      <c r="F173" s="5" t="str">
        <f>Calendario!$F173</f>
        <v>Metokids</v>
      </c>
      <c r="G173" s="5"/>
      <c r="H173" s="6" t="str">
        <f t="shared" si="1"/>
        <v>1</v>
      </c>
      <c r="I173" s="6"/>
      <c r="J173" s="10" t="str">
        <f>'traspo ñ alterar'!$B173</f>
        <v>2/8/26</v>
      </c>
      <c r="K173" s="6" t="str">
        <f t="shared" si="2"/>
        <v>Pais e Filhos</v>
      </c>
      <c r="L173" s="6" t="str">
        <f t="shared" si="3"/>
        <v>Culto em Rio Brilhante</v>
      </c>
      <c r="M173" s="6" t="str">
        <f t="shared" si="4"/>
        <v/>
      </c>
      <c r="N173" s="6" t="str">
        <f t="shared" si="5"/>
        <v>MOSTRAR</v>
      </c>
    </row>
    <row r="174" ht="15.75" customHeight="1">
      <c r="A174" s="1"/>
      <c r="B174" s="8" t="str">
        <f>Calendario!$B174</f>
        <v>2/8</v>
      </c>
      <c r="C174" s="3" t="str">
        <f>Calendario!$C174</f>
        <v>Sunday</v>
      </c>
      <c r="D174" s="9" t="str">
        <f>Calendario!$D174</f>
        <v>Culto em Rio Brilhante</v>
      </c>
      <c r="E174" s="5" t="str">
        <f>Calendario!$E174</f>
        <v/>
      </c>
      <c r="F174" s="5" t="str">
        <f>Calendario!$F174</f>
        <v/>
      </c>
      <c r="G174" s="5"/>
      <c r="H174" s="6" t="str">
        <f t="shared" si="1"/>
        <v>2</v>
      </c>
      <c r="I174" s="6"/>
      <c r="J174" s="10" t="str">
        <f>'traspo ñ alterar'!$B174</f>
        <v>2/8/26</v>
      </c>
      <c r="K174" s="6" t="str">
        <f t="shared" si="2"/>
        <v/>
      </c>
      <c r="L174" s="6" t="str">
        <f t="shared" si="3"/>
        <v/>
      </c>
      <c r="M174" s="6" t="str">
        <f t="shared" si="4"/>
        <v/>
      </c>
      <c r="N174" s="6" t="str">
        <f t="shared" si="5"/>
        <v>OCULTAR</v>
      </c>
    </row>
    <row r="175" ht="15.75" customHeight="1">
      <c r="A175" s="1"/>
      <c r="B175" s="8" t="str">
        <f>Calendario!$B175</f>
        <v>5/8</v>
      </c>
      <c r="C175" s="3" t="str">
        <f>Calendario!$C175</f>
        <v>Wednesday</v>
      </c>
      <c r="D175" s="9" t="str">
        <f>Calendario!$D175</f>
        <v>Célula</v>
      </c>
      <c r="E175" s="5" t="str">
        <f>Calendario!$E175</f>
        <v/>
      </c>
      <c r="F175" s="5" t="str">
        <f>Calendario!$F175</f>
        <v/>
      </c>
      <c r="G175" s="5"/>
      <c r="H175" s="6" t="str">
        <f t="shared" si="1"/>
        <v>1</v>
      </c>
      <c r="I175" s="6"/>
      <c r="J175" s="10" t="str">
        <f>'traspo ñ alterar'!$B175</f>
        <v>5/8/26</v>
      </c>
      <c r="K175" s="6" t="str">
        <f t="shared" si="2"/>
        <v>Célula</v>
      </c>
      <c r="L175" s="6" t="str">
        <f t="shared" si="3"/>
        <v/>
      </c>
      <c r="M175" s="6" t="str">
        <f t="shared" si="4"/>
        <v/>
      </c>
      <c r="N175" s="6" t="str">
        <f t="shared" si="5"/>
        <v>MOSTRAR</v>
      </c>
    </row>
    <row r="176" ht="15.75" customHeight="1">
      <c r="A176" s="1"/>
      <c r="B176" s="8" t="str">
        <f>Calendario!$B176</f>
        <v>7/8</v>
      </c>
      <c r="C176" s="3" t="str">
        <f>Calendario!$C176</f>
        <v>Friday</v>
      </c>
      <c r="D176" s="9" t="str">
        <f>Calendario!$D176</f>
        <v>Vigília</v>
      </c>
      <c r="E176" s="5" t="str">
        <f>Calendario!$E176</f>
        <v>Templo</v>
      </c>
      <c r="F176" s="5" t="str">
        <f>Calendario!$F176</f>
        <v>Intercessão</v>
      </c>
      <c r="G176" s="5"/>
      <c r="H176" s="6" t="str">
        <f t="shared" si="1"/>
        <v>1</v>
      </c>
      <c r="I176" s="6"/>
      <c r="J176" s="10" t="str">
        <f>'traspo ñ alterar'!$B176</f>
        <v>7/8/26</v>
      </c>
      <c r="K176" s="6" t="str">
        <f t="shared" si="2"/>
        <v>Vigília</v>
      </c>
      <c r="L176" s="6" t="str">
        <f t="shared" si="3"/>
        <v>Sexta cabeceira</v>
      </c>
      <c r="M176" s="6" t="str">
        <f t="shared" si="4"/>
        <v/>
      </c>
      <c r="N176" s="6" t="str">
        <f t="shared" si="5"/>
        <v>MOSTRAR</v>
      </c>
    </row>
    <row r="177" ht="15.75" customHeight="1">
      <c r="A177" s="1"/>
      <c r="B177" s="8" t="str">
        <f>Calendario!$B177</f>
        <v>7/8</v>
      </c>
      <c r="C177" s="3" t="str">
        <f>Calendario!$C177</f>
        <v>Friday</v>
      </c>
      <c r="D177" s="9" t="str">
        <f>Calendario!$D177</f>
        <v>Sexta cabeceira</v>
      </c>
      <c r="E177" s="5" t="str">
        <f>Calendario!$E177</f>
        <v>Quadra</v>
      </c>
      <c r="F177" s="5" t="str">
        <f>Calendario!$F177</f>
        <v>Inteensos</v>
      </c>
      <c r="G177" s="5"/>
      <c r="H177" s="6" t="str">
        <f t="shared" si="1"/>
        <v>2</v>
      </c>
      <c r="I177" s="6"/>
      <c r="J177" s="10" t="str">
        <f>'traspo ñ alterar'!$B177</f>
        <v>7/8/26</v>
      </c>
      <c r="K177" s="6" t="str">
        <f t="shared" si="2"/>
        <v/>
      </c>
      <c r="L177" s="6" t="str">
        <f t="shared" si="3"/>
        <v/>
      </c>
      <c r="M177" s="6" t="str">
        <f t="shared" si="4"/>
        <v/>
      </c>
      <c r="N177" s="6" t="str">
        <f t="shared" si="5"/>
        <v>OCULTAR</v>
      </c>
    </row>
    <row r="178" ht="15.75" customHeight="1">
      <c r="A178" s="1"/>
      <c r="B178" s="8" t="str">
        <f>Calendario!$B178</f>
        <v>8/8</v>
      </c>
      <c r="C178" s="3" t="str">
        <f>Calendario!$C178</f>
        <v>Saturday</v>
      </c>
      <c r="D178" s="9" t="str">
        <f>Calendario!$D178</f>
        <v>Formatura/EBD</v>
      </c>
      <c r="E178" s="5" t="str">
        <f>Calendario!$E178</f>
        <v>Templo</v>
      </c>
      <c r="F178" s="5" t="str">
        <f>Calendario!$F178</f>
        <v>EBD</v>
      </c>
      <c r="G178" s="5"/>
      <c r="H178" s="6" t="str">
        <f t="shared" si="1"/>
        <v>1</v>
      </c>
      <c r="I178" s="6"/>
      <c r="J178" s="10" t="str">
        <f>'traspo ñ alterar'!$B178</f>
        <v>8/8/26</v>
      </c>
      <c r="K178" s="6" t="str">
        <f t="shared" si="2"/>
        <v>Formatura/EBD</v>
      </c>
      <c r="L178" s="6" t="str">
        <f t="shared" si="3"/>
        <v>Relogio de oração</v>
      </c>
      <c r="M178" s="6" t="str">
        <f t="shared" si="4"/>
        <v/>
      </c>
      <c r="N178" s="6" t="str">
        <f t="shared" si="5"/>
        <v>MOSTRAR</v>
      </c>
    </row>
    <row r="179" ht="15.75" customHeight="1">
      <c r="A179" s="1"/>
      <c r="B179" s="8" t="str">
        <f>Calendario!$B179</f>
        <v>8/8</v>
      </c>
      <c r="C179" s="3" t="str">
        <f>Calendario!$C179</f>
        <v>Saturday</v>
      </c>
      <c r="D179" s="9" t="str">
        <f>Calendario!$D179</f>
        <v>Relogio de oração</v>
      </c>
      <c r="E179" s="5" t="str">
        <f>Calendario!$E179</f>
        <v/>
      </c>
      <c r="F179" s="5" t="str">
        <f>Calendario!$F179</f>
        <v>Intercessão</v>
      </c>
      <c r="G179" s="5"/>
      <c r="H179" s="6" t="str">
        <f t="shared" si="1"/>
        <v>2</v>
      </c>
      <c r="I179" s="6"/>
      <c r="J179" s="10" t="str">
        <f>'traspo ñ alterar'!$B179</f>
        <v>8/8/26</v>
      </c>
      <c r="K179" s="6" t="str">
        <f t="shared" si="2"/>
        <v/>
      </c>
      <c r="L179" s="6" t="str">
        <f t="shared" si="3"/>
        <v/>
      </c>
      <c r="M179" s="6" t="str">
        <f t="shared" si="4"/>
        <v/>
      </c>
      <c r="N179" s="6" t="str">
        <f t="shared" si="5"/>
        <v>OCULTAR</v>
      </c>
    </row>
    <row r="180" ht="15.75" customHeight="1">
      <c r="A180" s="1"/>
      <c r="B180" s="8" t="str">
        <f>Calendario!$B180</f>
        <v>9/8</v>
      </c>
      <c r="C180" s="3" t="str">
        <f>Calendario!$C180</f>
        <v>Sunday</v>
      </c>
      <c r="D180" s="9" t="str">
        <f>Calendario!$D180</f>
        <v>Jantar para os Pais</v>
      </c>
      <c r="E180" s="5" t="str">
        <f>Calendario!$E180</f>
        <v/>
      </c>
      <c r="F180" s="5" t="str">
        <f>Calendario!$F180</f>
        <v>SMM</v>
      </c>
      <c r="G180" s="5"/>
      <c r="H180" s="6" t="str">
        <f t="shared" si="1"/>
        <v>1</v>
      </c>
      <c r="I180" s="6"/>
      <c r="J180" s="10" t="str">
        <f>'traspo ñ alterar'!$B180</f>
        <v>9/8/26</v>
      </c>
      <c r="K180" s="6" t="str">
        <f t="shared" si="2"/>
        <v>Jantar para os Pais</v>
      </c>
      <c r="L180" s="6" t="str">
        <f t="shared" si="3"/>
        <v/>
      </c>
      <c r="M180" s="6" t="str">
        <f t="shared" si="4"/>
        <v/>
      </c>
      <c r="N180" s="6" t="str">
        <f t="shared" si="5"/>
        <v>MOSTRAR</v>
      </c>
    </row>
    <row r="181" ht="15.75" customHeight="1">
      <c r="A181" s="1"/>
      <c r="B181" s="8" t="str">
        <f>Calendario!$B181</f>
        <v>12/8</v>
      </c>
      <c r="C181" s="3" t="str">
        <f>Calendario!$C181</f>
        <v>Wednesday</v>
      </c>
      <c r="D181" s="9" t="str">
        <f>Calendario!$D181</f>
        <v>Célula</v>
      </c>
      <c r="E181" s="5" t="str">
        <f>Calendario!$E181</f>
        <v/>
      </c>
      <c r="F181" s="5" t="str">
        <f>Calendario!$F181</f>
        <v/>
      </c>
      <c r="G181" s="5"/>
      <c r="H181" s="6" t="str">
        <f t="shared" si="1"/>
        <v>1</v>
      </c>
      <c r="I181" s="6"/>
      <c r="J181" s="10" t="str">
        <f>'traspo ñ alterar'!$B181</f>
        <v>12/8/26</v>
      </c>
      <c r="K181" s="6" t="str">
        <f t="shared" si="2"/>
        <v>Célula</v>
      </c>
      <c r="L181" s="6" t="str">
        <f t="shared" si="3"/>
        <v/>
      </c>
      <c r="M181" s="6" t="str">
        <f t="shared" si="4"/>
        <v/>
      </c>
      <c r="N181" s="6" t="str">
        <f t="shared" si="5"/>
        <v>MOSTRAR</v>
      </c>
    </row>
    <row r="182" ht="15.75" customHeight="1">
      <c r="A182" s="1"/>
      <c r="B182" s="8" t="str">
        <f>Calendario!$B182</f>
        <v>13/8</v>
      </c>
      <c r="C182" s="3" t="str">
        <f>Calendario!$C182</f>
        <v>Thursday</v>
      </c>
      <c r="D182" s="9" t="str">
        <f>Calendario!$D182</f>
        <v>Momento evangelistico</v>
      </c>
      <c r="E182" s="5" t="str">
        <f>Calendario!$E182</f>
        <v/>
      </c>
      <c r="F182" s="5" t="str">
        <f>Calendario!$F182</f>
        <v>SMM</v>
      </c>
      <c r="G182" s="5"/>
      <c r="H182" s="6" t="str">
        <f t="shared" si="1"/>
        <v>1</v>
      </c>
      <c r="I182" s="6"/>
      <c r="J182" s="10" t="str">
        <f>'traspo ñ alterar'!$B182</f>
        <v>13/8/26</v>
      </c>
      <c r="K182" s="6" t="str">
        <f t="shared" si="2"/>
        <v>Momento evangelistico</v>
      </c>
      <c r="L182" s="6" t="str">
        <f t="shared" si="3"/>
        <v/>
      </c>
      <c r="M182" s="6" t="str">
        <f t="shared" si="4"/>
        <v/>
      </c>
      <c r="N182" s="6" t="str">
        <f t="shared" si="5"/>
        <v>MOSTRAR</v>
      </c>
    </row>
    <row r="183" ht="15.75" customHeight="1">
      <c r="A183" s="1"/>
      <c r="B183" s="8" t="str">
        <f>Calendario!$B183</f>
        <v>14/8</v>
      </c>
      <c r="C183" s="3" t="str">
        <f>Calendario!$C183</f>
        <v>Friday</v>
      </c>
      <c r="D183" s="9" t="str">
        <f>Calendario!$D183</f>
        <v>Sexta cabeceira</v>
      </c>
      <c r="E183" s="5" t="str">
        <f>Calendario!$E183</f>
        <v>Quadra</v>
      </c>
      <c r="F183" s="5" t="str">
        <f>Calendario!$F183</f>
        <v>Inteensos</v>
      </c>
      <c r="G183" s="5"/>
      <c r="H183" s="6" t="str">
        <f t="shared" si="1"/>
        <v>1</v>
      </c>
      <c r="I183" s="6"/>
      <c r="J183" s="10" t="str">
        <f>'traspo ñ alterar'!$B183</f>
        <v>14/8/26</v>
      </c>
      <c r="K183" s="6" t="str">
        <f t="shared" si="2"/>
        <v>Sexta cabeceira</v>
      </c>
      <c r="L183" s="6" t="str">
        <f t="shared" si="3"/>
        <v/>
      </c>
      <c r="M183" s="6" t="str">
        <f t="shared" si="4"/>
        <v/>
      </c>
      <c r="N183" s="6" t="str">
        <f t="shared" si="5"/>
        <v>MOSTRAR</v>
      </c>
    </row>
    <row r="184" ht="15.75" customHeight="1">
      <c r="A184" s="1"/>
      <c r="B184" s="8" t="str">
        <f>Calendario!$B184</f>
        <v>15/8</v>
      </c>
      <c r="C184" s="3" t="str">
        <f>Calendario!$C184</f>
        <v>Saturday</v>
      </c>
      <c r="D184" s="9" t="str">
        <f>Calendario!$D184</f>
        <v>Conferência de intercessão</v>
      </c>
      <c r="E184" s="5" t="str">
        <f>Calendario!$E184</f>
        <v/>
      </c>
      <c r="F184" s="5" t="str">
        <f>Calendario!$F184</f>
        <v>Intercessão</v>
      </c>
      <c r="G184" s="5"/>
      <c r="H184" s="6" t="str">
        <f t="shared" si="1"/>
        <v>1</v>
      </c>
      <c r="I184" s="6"/>
      <c r="J184" s="10" t="str">
        <f>'traspo ñ alterar'!$B184</f>
        <v>15/8/26</v>
      </c>
      <c r="K184" s="6" t="str">
        <f t="shared" si="2"/>
        <v>Conferência de intercessão</v>
      </c>
      <c r="L184" s="6" t="str">
        <f t="shared" si="3"/>
        <v/>
      </c>
      <c r="M184" s="6" t="str">
        <f t="shared" si="4"/>
        <v/>
      </c>
      <c r="N184" s="6" t="str">
        <f t="shared" si="5"/>
        <v>MOSTRAR</v>
      </c>
    </row>
    <row r="185" ht="15.75" customHeight="1">
      <c r="A185" s="1"/>
      <c r="B185" s="8" t="str">
        <f>Calendario!$B185</f>
        <v>16/8</v>
      </c>
      <c r="C185" s="3" t="str">
        <f>Calendario!$C185</f>
        <v>Sunday</v>
      </c>
      <c r="D185" s="9" t="str">
        <f>Calendario!$D185</f>
        <v>Conferência de intercessão</v>
      </c>
      <c r="E185" s="5" t="str">
        <f>Calendario!$E185</f>
        <v/>
      </c>
      <c r="F185" s="5" t="str">
        <f>Calendario!$F185</f>
        <v>Intercessão</v>
      </c>
      <c r="G185" s="5"/>
      <c r="H185" s="6" t="str">
        <f t="shared" si="1"/>
        <v>1</v>
      </c>
      <c r="I185" s="6"/>
      <c r="J185" s="10" t="str">
        <f>'traspo ñ alterar'!$B185</f>
        <v>16/8/26</v>
      </c>
      <c r="K185" s="6" t="str">
        <f t="shared" si="2"/>
        <v>Conferência de intercessão</v>
      </c>
      <c r="L185" s="6" t="str">
        <f t="shared" si="3"/>
        <v>Cantina prol GE</v>
      </c>
      <c r="M185" s="6" t="str">
        <f t="shared" si="4"/>
        <v/>
      </c>
      <c r="N185" s="6" t="str">
        <f t="shared" si="5"/>
        <v>MOSTRAR</v>
      </c>
    </row>
    <row r="186" ht="15.75" customHeight="1">
      <c r="A186" s="1"/>
      <c r="B186" s="8" t="str">
        <f>Calendario!$B186</f>
        <v>16/8</v>
      </c>
      <c r="C186" s="3" t="str">
        <f>Calendario!$C186</f>
        <v>Sunday</v>
      </c>
      <c r="D186" s="9" t="str">
        <f>Calendario!$D186</f>
        <v>Cantina prol GE</v>
      </c>
      <c r="E186" s="5" t="str">
        <f>Calendario!$E186</f>
        <v>A definir</v>
      </c>
      <c r="F186" s="5" t="str">
        <f>Calendario!$F186</f>
        <v>Inteensos</v>
      </c>
      <c r="G186" s="5"/>
      <c r="H186" s="6" t="str">
        <f t="shared" si="1"/>
        <v>2</v>
      </c>
      <c r="I186" s="6"/>
      <c r="J186" s="10" t="str">
        <f>'traspo ñ alterar'!$B186</f>
        <v>16/8/26</v>
      </c>
      <c r="K186" s="6" t="str">
        <f t="shared" si="2"/>
        <v/>
      </c>
      <c r="L186" s="6" t="str">
        <f t="shared" si="3"/>
        <v/>
      </c>
      <c r="M186" s="6" t="str">
        <f t="shared" si="4"/>
        <v/>
      </c>
      <c r="N186" s="6" t="str">
        <f t="shared" si="5"/>
        <v>OCULTAR</v>
      </c>
    </row>
    <row r="187" ht="15.75" customHeight="1">
      <c r="A187" s="1"/>
      <c r="B187" s="8" t="str">
        <f>Calendario!$B187</f>
        <v>19/8</v>
      </c>
      <c r="C187" s="3" t="str">
        <f>Calendario!$C187</f>
        <v>Wednesday</v>
      </c>
      <c r="D187" s="9" t="str">
        <f>Calendario!$D187</f>
        <v>Célula</v>
      </c>
      <c r="E187" s="5" t="str">
        <f>Calendario!$E187</f>
        <v/>
      </c>
      <c r="F187" s="5" t="str">
        <f>Calendario!$F187</f>
        <v/>
      </c>
      <c r="G187" s="5"/>
      <c r="H187" s="6" t="str">
        <f t="shared" si="1"/>
        <v>1</v>
      </c>
      <c r="I187" s="6"/>
      <c r="J187" s="10" t="str">
        <f>'traspo ñ alterar'!$B187</f>
        <v>19/8/26</v>
      </c>
      <c r="K187" s="6" t="str">
        <f t="shared" si="2"/>
        <v>Célula</v>
      </c>
      <c r="L187" s="6" t="str">
        <f t="shared" si="3"/>
        <v/>
      </c>
      <c r="M187" s="6" t="str">
        <f t="shared" si="4"/>
        <v/>
      </c>
      <c r="N187" s="6" t="str">
        <f t="shared" si="5"/>
        <v>MOSTRAR</v>
      </c>
    </row>
    <row r="188" ht="15.75" customHeight="1">
      <c r="A188" s="1"/>
      <c r="B188" s="8" t="str">
        <f>Calendario!$B188</f>
        <v>20/8</v>
      </c>
      <c r="C188" s="3" t="str">
        <f>Calendario!$C188</f>
        <v>Thursday</v>
      </c>
      <c r="D188" s="9" t="str">
        <f>Calendario!$D188</f>
        <v>Culto de homens</v>
      </c>
      <c r="E188" s="5" t="str">
        <f>Calendario!$E188</f>
        <v>Metokids</v>
      </c>
      <c r="F188" s="5" t="str">
        <f>Calendario!$F188</f>
        <v>SMH</v>
      </c>
      <c r="G188" s="5"/>
      <c r="H188" s="6" t="str">
        <f t="shared" si="1"/>
        <v>1</v>
      </c>
      <c r="I188" s="6"/>
      <c r="J188" s="10" t="str">
        <f>'traspo ñ alterar'!$B188</f>
        <v>20/8/26</v>
      </c>
      <c r="K188" s="6" t="str">
        <f t="shared" si="2"/>
        <v>Culto de homens</v>
      </c>
      <c r="L188" s="6" t="str">
        <f t="shared" si="3"/>
        <v/>
      </c>
      <c r="M188" s="6" t="str">
        <f t="shared" si="4"/>
        <v/>
      </c>
      <c r="N188" s="6" t="str">
        <f t="shared" si="5"/>
        <v>MOSTRAR</v>
      </c>
    </row>
    <row r="189" ht="15.75" customHeight="1">
      <c r="A189" s="1"/>
      <c r="B189" s="8" t="str">
        <f>Calendario!$B189</f>
        <v>21/8</v>
      </c>
      <c r="C189" s="3" t="str">
        <f>Calendario!$C189</f>
        <v>Friday</v>
      </c>
      <c r="D189" s="9" t="str">
        <f>Calendario!$D189</f>
        <v>Sexta cabeceira</v>
      </c>
      <c r="E189" s="5" t="str">
        <f>Calendario!$E189</f>
        <v>Quadra</v>
      </c>
      <c r="F189" s="5" t="str">
        <f>Calendario!$F189</f>
        <v>Inteensos</v>
      </c>
      <c r="G189" s="5"/>
      <c r="H189" s="6" t="str">
        <f t="shared" si="1"/>
        <v>1</v>
      </c>
      <c r="I189" s="6"/>
      <c r="J189" s="10" t="str">
        <f>'traspo ñ alterar'!$B189</f>
        <v>21/8/26</v>
      </c>
      <c r="K189" s="6" t="str">
        <f t="shared" si="2"/>
        <v>Sexta cabeceira</v>
      </c>
      <c r="L189" s="6" t="str">
        <f t="shared" si="3"/>
        <v/>
      </c>
      <c r="M189" s="6" t="str">
        <f t="shared" si="4"/>
        <v/>
      </c>
      <c r="N189" s="6" t="str">
        <f t="shared" si="5"/>
        <v>MOSTRAR</v>
      </c>
    </row>
    <row r="190" ht="15.75" customHeight="1">
      <c r="A190" s="1"/>
      <c r="B190" s="8" t="str">
        <f>Calendario!$B190</f>
        <v>22/8</v>
      </c>
      <c r="C190" s="3" t="str">
        <f>Calendario!$C190</f>
        <v>Saturday</v>
      </c>
      <c r="D190" s="9" t="str">
        <f>Calendario!$D190</f>
        <v>Inteensos - metogames</v>
      </c>
      <c r="E190" s="5" t="str">
        <f>Calendario!$E190</f>
        <v>Templo</v>
      </c>
      <c r="F190" s="5" t="str">
        <f>Calendario!$F190</f>
        <v>Inteensos</v>
      </c>
      <c r="G190" s="5"/>
      <c r="H190" s="6" t="str">
        <f t="shared" si="1"/>
        <v>1</v>
      </c>
      <c r="I190" s="6"/>
      <c r="J190" s="10" t="str">
        <f>'traspo ñ alterar'!$B190</f>
        <v>22/8/26</v>
      </c>
      <c r="K190" s="6" t="str">
        <f t="shared" si="2"/>
        <v>Inteensos - metogames</v>
      </c>
      <c r="L190" s="6" t="str">
        <f t="shared" si="3"/>
        <v/>
      </c>
      <c r="M190" s="6" t="str">
        <f t="shared" si="4"/>
        <v/>
      </c>
      <c r="N190" s="6" t="str">
        <f t="shared" si="5"/>
        <v>MOSTRAR</v>
      </c>
    </row>
    <row r="191" ht="15.75" customHeight="1">
      <c r="A191" s="1"/>
      <c r="B191" s="8" t="str">
        <f>Calendario!$B191</f>
        <v>23/8</v>
      </c>
      <c r="C191" s="3" t="str">
        <f>Calendario!$C191</f>
        <v>Sunday</v>
      </c>
      <c r="D191" s="9" t="str">
        <f>Calendario!$D191</f>
        <v>Culto missionário</v>
      </c>
      <c r="E191" s="5" t="str">
        <f>Calendario!$E191</f>
        <v/>
      </c>
      <c r="F191" s="5" t="str">
        <f>Calendario!$F191</f>
        <v>Pastoral</v>
      </c>
      <c r="G191" s="5"/>
      <c r="H191" s="6" t="str">
        <f t="shared" si="1"/>
        <v>1</v>
      </c>
      <c r="I191" s="6"/>
      <c r="J191" s="10" t="str">
        <f>'traspo ñ alterar'!$B191</f>
        <v>23/8/26</v>
      </c>
      <c r="K191" s="6" t="str">
        <f t="shared" si="2"/>
        <v>Culto missionário</v>
      </c>
      <c r="L191" s="6" t="str">
        <f t="shared" si="3"/>
        <v/>
      </c>
      <c r="M191" s="6" t="str">
        <f t="shared" si="4"/>
        <v/>
      </c>
      <c r="N191" s="6" t="str">
        <f t="shared" si="5"/>
        <v>MOSTRAR</v>
      </c>
    </row>
    <row r="192" ht="15.75" customHeight="1">
      <c r="A192" s="1"/>
      <c r="B192" s="8" t="str">
        <f>Calendario!$B192</f>
        <v>24/8</v>
      </c>
      <c r="C192" s="3" t="str">
        <f>Calendario!$C192</f>
        <v>Monday</v>
      </c>
      <c r="D192" s="9" t="str">
        <f>Calendario!$D192</f>
        <v>Clamor on line</v>
      </c>
      <c r="E192" s="5" t="str">
        <f>Calendario!$E192</f>
        <v/>
      </c>
      <c r="F192" s="5" t="str">
        <f>Calendario!$F192</f>
        <v/>
      </c>
      <c r="G192" s="5"/>
      <c r="H192" s="6" t="str">
        <f t="shared" si="1"/>
        <v>1</v>
      </c>
      <c r="I192" s="6"/>
      <c r="J192" s="10" t="str">
        <f>'traspo ñ alterar'!$B192</f>
        <v>24/8/26</v>
      </c>
      <c r="K192" s="6" t="str">
        <f t="shared" si="2"/>
        <v>Clamor on line</v>
      </c>
      <c r="L192" s="6" t="str">
        <f t="shared" si="3"/>
        <v/>
      </c>
      <c r="M192" s="6" t="str">
        <f t="shared" si="4"/>
        <v/>
      </c>
      <c r="N192" s="6" t="str">
        <f t="shared" si="5"/>
        <v>MOSTRAR</v>
      </c>
    </row>
    <row r="193" ht="15.75" customHeight="1">
      <c r="A193" s="1"/>
      <c r="B193" s="8" t="str">
        <f>Calendario!$B193</f>
        <v>25/8</v>
      </c>
      <c r="C193" s="3" t="str">
        <f>Calendario!$C193</f>
        <v>Tuesday</v>
      </c>
      <c r="D193" s="9" t="str">
        <f>Calendario!$D193</f>
        <v>Clamor on line</v>
      </c>
      <c r="E193" s="5" t="str">
        <f>Calendario!$E193</f>
        <v/>
      </c>
      <c r="F193" s="5" t="str">
        <f>Calendario!$F193</f>
        <v/>
      </c>
      <c r="G193" s="5"/>
      <c r="H193" s="6" t="str">
        <f t="shared" si="1"/>
        <v>1</v>
      </c>
      <c r="I193" s="6"/>
      <c r="J193" s="10" t="str">
        <f>'traspo ñ alterar'!$B193</f>
        <v>25/8/26</v>
      </c>
      <c r="K193" s="6" t="str">
        <f t="shared" si="2"/>
        <v>Clamor on line</v>
      </c>
      <c r="L193" s="6" t="str">
        <f t="shared" si="3"/>
        <v/>
      </c>
      <c r="M193" s="6" t="str">
        <f t="shared" si="4"/>
        <v/>
      </c>
      <c r="N193" s="6" t="str">
        <f t="shared" si="5"/>
        <v>MOSTRAR</v>
      </c>
    </row>
    <row r="194" ht="15.75" customHeight="1">
      <c r="A194" s="1"/>
      <c r="B194" s="8" t="str">
        <f>Calendario!$B194</f>
        <v>26/8</v>
      </c>
      <c r="C194" s="3" t="str">
        <f>Calendario!$C194</f>
        <v>Wednesday</v>
      </c>
      <c r="D194" s="9" t="str">
        <f>Calendario!$D194</f>
        <v>Célula</v>
      </c>
      <c r="E194" s="5" t="str">
        <f>Calendario!$E194</f>
        <v/>
      </c>
      <c r="F194" s="5" t="str">
        <f>Calendario!$F194</f>
        <v/>
      </c>
      <c r="G194" s="5"/>
      <c r="H194" s="6" t="str">
        <f t="shared" si="1"/>
        <v>1</v>
      </c>
      <c r="I194" s="6"/>
      <c r="J194" s="10" t="str">
        <f>'traspo ñ alterar'!$B194</f>
        <v>26/8/26</v>
      </c>
      <c r="K194" s="6" t="str">
        <f t="shared" si="2"/>
        <v>Célula</v>
      </c>
      <c r="L194" s="6" t="str">
        <f t="shared" si="3"/>
        <v>Clamor on line</v>
      </c>
      <c r="M194" s="6" t="str">
        <f t="shared" si="4"/>
        <v/>
      </c>
      <c r="N194" s="6" t="str">
        <f t="shared" si="5"/>
        <v>MOSTRAR</v>
      </c>
    </row>
    <row r="195" ht="15.75" customHeight="1">
      <c r="A195" s="1"/>
      <c r="B195" s="8" t="str">
        <f>Calendario!$B195</f>
        <v>26/8</v>
      </c>
      <c r="C195" s="3" t="str">
        <f>Calendario!$C195</f>
        <v>Wednesday</v>
      </c>
      <c r="D195" s="9" t="str">
        <f>Calendario!$D195</f>
        <v>Clamor on line</v>
      </c>
      <c r="E195" s="5" t="str">
        <f>Calendario!$E195</f>
        <v/>
      </c>
      <c r="F195" s="5" t="str">
        <f>Calendario!$F195</f>
        <v/>
      </c>
      <c r="G195" s="5"/>
      <c r="H195" s="6" t="str">
        <f t="shared" si="1"/>
        <v>2</v>
      </c>
      <c r="I195" s="6"/>
      <c r="J195" s="10" t="str">
        <f>'traspo ñ alterar'!$B195</f>
        <v>26/8/26</v>
      </c>
      <c r="K195" s="6" t="str">
        <f t="shared" si="2"/>
        <v/>
      </c>
      <c r="L195" s="6" t="str">
        <f t="shared" si="3"/>
        <v/>
      </c>
      <c r="M195" s="6" t="str">
        <f t="shared" si="4"/>
        <v/>
      </c>
      <c r="N195" s="6" t="str">
        <f t="shared" si="5"/>
        <v>OCULTAR</v>
      </c>
    </row>
    <row r="196" ht="15.75" customHeight="1">
      <c r="A196" s="1"/>
      <c r="B196" s="8" t="str">
        <f>Calendario!$B196</f>
        <v>27/8</v>
      </c>
      <c r="C196" s="3" t="str">
        <f>Calendario!$C196</f>
        <v>Thursday</v>
      </c>
      <c r="D196" s="9" t="str">
        <f>Calendario!$D196</f>
        <v>Clamor on line</v>
      </c>
      <c r="E196" s="5" t="str">
        <f>Calendario!$E196</f>
        <v/>
      </c>
      <c r="F196" s="5" t="str">
        <f>Calendario!$F196</f>
        <v/>
      </c>
      <c r="G196" s="5"/>
      <c r="H196" s="6" t="str">
        <f t="shared" si="1"/>
        <v>1</v>
      </c>
      <c r="I196" s="6"/>
      <c r="J196" s="10" t="str">
        <f>'traspo ñ alterar'!$B196</f>
        <v>27/8/26</v>
      </c>
      <c r="K196" s="6" t="str">
        <f t="shared" si="2"/>
        <v>Clamor on line</v>
      </c>
      <c r="L196" s="6" t="str">
        <f t="shared" si="3"/>
        <v/>
      </c>
      <c r="M196" s="6" t="str">
        <f t="shared" si="4"/>
        <v/>
      </c>
      <c r="N196" s="6" t="str">
        <f t="shared" si="5"/>
        <v>MOSTRAR</v>
      </c>
    </row>
    <row r="197" ht="15.75" customHeight="1">
      <c r="A197" s="1"/>
      <c r="B197" s="8" t="str">
        <f>Calendario!$B197</f>
        <v>28/8</v>
      </c>
      <c r="C197" s="3" t="str">
        <f>Calendario!$C197</f>
        <v>Friday</v>
      </c>
      <c r="D197" s="9" t="str">
        <f>Calendario!$D197</f>
        <v>Sexta cabeceira</v>
      </c>
      <c r="E197" s="5" t="str">
        <f>Calendario!$E197</f>
        <v>Quadra</v>
      </c>
      <c r="F197" s="5" t="str">
        <f>Calendario!$F197</f>
        <v>Inteensos</v>
      </c>
      <c r="G197" s="5"/>
      <c r="H197" s="6" t="str">
        <f t="shared" si="1"/>
        <v>1</v>
      </c>
      <c r="I197" s="6"/>
      <c r="J197" s="10" t="str">
        <f>'traspo ñ alterar'!$B197</f>
        <v>28/8/26</v>
      </c>
      <c r="K197" s="6" t="str">
        <f t="shared" si="2"/>
        <v>Sexta cabeceira</v>
      </c>
      <c r="L197" s="6" t="str">
        <f t="shared" si="3"/>
        <v>Clamor on line</v>
      </c>
      <c r="M197" s="6" t="str">
        <f t="shared" si="4"/>
        <v/>
      </c>
      <c r="N197" s="6" t="str">
        <f t="shared" si="5"/>
        <v>MOSTRAR</v>
      </c>
    </row>
    <row r="198" ht="15.75" customHeight="1">
      <c r="A198" s="1"/>
      <c r="B198" s="8" t="str">
        <f>Calendario!$B198</f>
        <v>28/8</v>
      </c>
      <c r="C198" s="3" t="str">
        <f>Calendario!$C198</f>
        <v>Friday</v>
      </c>
      <c r="D198" s="9" t="str">
        <f>Calendario!$D198</f>
        <v>Clamor on line</v>
      </c>
      <c r="E198" s="5" t="str">
        <f>Calendario!$E198</f>
        <v/>
      </c>
      <c r="F198" s="5" t="str">
        <f>Calendario!$F198</f>
        <v/>
      </c>
      <c r="G198" s="5"/>
      <c r="H198" s="6" t="str">
        <f t="shared" si="1"/>
        <v>2</v>
      </c>
      <c r="I198" s="6"/>
      <c r="J198" s="10" t="str">
        <f>'traspo ñ alterar'!$B198</f>
        <v>28/8/26</v>
      </c>
      <c r="K198" s="6" t="str">
        <f t="shared" si="2"/>
        <v/>
      </c>
      <c r="L198" s="6" t="str">
        <f t="shared" si="3"/>
        <v/>
      </c>
      <c r="M198" s="6" t="str">
        <f t="shared" si="4"/>
        <v/>
      </c>
      <c r="N198" s="6" t="str">
        <f t="shared" si="5"/>
        <v>OCULTAR</v>
      </c>
    </row>
    <row r="199" ht="15.75" customHeight="1">
      <c r="A199" s="1"/>
      <c r="B199" s="8" t="str">
        <f>Calendario!$B199</f>
        <v>29/8</v>
      </c>
      <c r="C199" s="3" t="str">
        <f>Calendario!$C199</f>
        <v>Saturday</v>
      </c>
      <c r="D199" s="9" t="str">
        <f>Calendario!$D199</f>
        <v>Metogames</v>
      </c>
      <c r="E199" s="5" t="str">
        <f>Calendario!$E199</f>
        <v>Templo</v>
      </c>
      <c r="F199" s="5" t="str">
        <f>Calendario!$F199</f>
        <v>Inteensos</v>
      </c>
      <c r="G199" s="5"/>
      <c r="H199" s="6" t="str">
        <f t="shared" si="1"/>
        <v>1</v>
      </c>
      <c r="I199" s="6"/>
      <c r="J199" s="10" t="str">
        <f>'traspo ñ alterar'!$B199</f>
        <v>29/8/26</v>
      </c>
      <c r="K199" s="6" t="str">
        <f t="shared" si="2"/>
        <v>Metogames</v>
      </c>
      <c r="L199" s="6" t="str">
        <f t="shared" si="3"/>
        <v/>
      </c>
      <c r="M199" s="6" t="str">
        <f t="shared" si="4"/>
        <v/>
      </c>
      <c r="N199" s="6" t="str">
        <f t="shared" si="5"/>
        <v>MOSTRAR</v>
      </c>
    </row>
    <row r="200" ht="15.75" customHeight="1">
      <c r="A200" s="1"/>
      <c r="B200" s="8" t="str">
        <f>Calendario!$B200</f>
        <v>30/8</v>
      </c>
      <c r="C200" s="3" t="str">
        <f>Calendario!$C200</f>
        <v>Sunday</v>
      </c>
      <c r="D200" s="9" t="str">
        <f>Calendario!$D200</f>
        <v>Concílio Local 1 - Eleição Episcopal</v>
      </c>
      <c r="E200" s="5" t="str">
        <f>Calendario!$E200</f>
        <v>Templo</v>
      </c>
      <c r="F200" s="5" t="str">
        <f>Calendario!$F200</f>
        <v>Pastoral</v>
      </c>
      <c r="G200" s="5"/>
      <c r="H200" s="6" t="str">
        <f t="shared" si="1"/>
        <v>1</v>
      </c>
      <c r="I200" s="6"/>
      <c r="J200" s="10" t="str">
        <f>'traspo ñ alterar'!$B200</f>
        <v>30/8/26</v>
      </c>
      <c r="K200" s="6" t="str">
        <f t="shared" si="2"/>
        <v>Concílio Local 1 - Eleição Episcopal</v>
      </c>
      <c r="L200" s="6" t="str">
        <f t="shared" si="3"/>
        <v/>
      </c>
      <c r="M200" s="6" t="str">
        <f t="shared" si="4"/>
        <v/>
      </c>
      <c r="N200" s="6" t="str">
        <f t="shared" si="5"/>
        <v>MOSTRAR</v>
      </c>
    </row>
    <row r="201" ht="15.75" customHeight="1">
      <c r="A201" s="1"/>
      <c r="B201" s="8" t="str">
        <f>Calendario!$B201</f>
        <v>2/9</v>
      </c>
      <c r="C201" s="3" t="str">
        <f>Calendario!$C201</f>
        <v>Wednesday</v>
      </c>
      <c r="D201" s="9" t="str">
        <f>Calendario!$D201</f>
        <v>Célula</v>
      </c>
      <c r="E201" s="5" t="str">
        <f>Calendario!$E201</f>
        <v/>
      </c>
      <c r="F201" s="5" t="str">
        <f>Calendario!$F201</f>
        <v/>
      </c>
      <c r="G201" s="5"/>
      <c r="H201" s="6" t="str">
        <f t="shared" si="1"/>
        <v>1</v>
      </c>
      <c r="I201" s="6"/>
      <c r="J201" s="10" t="str">
        <f>'traspo ñ alterar'!$B201</f>
        <v>2/9/26</v>
      </c>
      <c r="K201" s="6" t="str">
        <f t="shared" si="2"/>
        <v>Célula</v>
      </c>
      <c r="L201" s="6" t="str">
        <f t="shared" si="3"/>
        <v/>
      </c>
      <c r="M201" s="6" t="str">
        <f t="shared" si="4"/>
        <v/>
      </c>
      <c r="N201" s="6" t="str">
        <f t="shared" si="5"/>
        <v>MOSTRAR</v>
      </c>
    </row>
    <row r="202" ht="15.75" customHeight="1">
      <c r="A202" s="1"/>
      <c r="B202" s="8" t="str">
        <f>Calendario!$B202</f>
        <v>3/9</v>
      </c>
      <c r="C202" s="3" t="str">
        <f>Calendario!$C202</f>
        <v>Thursday</v>
      </c>
      <c r="D202" s="9" t="str">
        <f>Calendario!$D202</f>
        <v>Culto de homens</v>
      </c>
      <c r="E202" s="5" t="str">
        <f>Calendario!$E202</f>
        <v>Metokids</v>
      </c>
      <c r="F202" s="5" t="str">
        <f>Calendario!$F202</f>
        <v>SMH</v>
      </c>
      <c r="G202" s="5"/>
      <c r="H202" s="6" t="str">
        <f t="shared" si="1"/>
        <v>1</v>
      </c>
      <c r="I202" s="6"/>
      <c r="J202" s="10" t="str">
        <f>'traspo ñ alterar'!$B202</f>
        <v>3/9/26</v>
      </c>
      <c r="K202" s="6" t="str">
        <f t="shared" si="2"/>
        <v>Culto de homens</v>
      </c>
      <c r="L202" s="6" t="str">
        <f t="shared" si="3"/>
        <v/>
      </c>
      <c r="M202" s="6" t="str">
        <f t="shared" si="4"/>
        <v/>
      </c>
      <c r="N202" s="6" t="str">
        <f t="shared" si="5"/>
        <v>MOSTRAR</v>
      </c>
    </row>
    <row r="203" ht="15.75" customHeight="1">
      <c r="A203" s="1"/>
      <c r="B203" s="8" t="str">
        <f>Calendario!$B203</f>
        <v>4/9</v>
      </c>
      <c r="C203" s="3" t="str">
        <f>Calendario!$C203</f>
        <v>Friday</v>
      </c>
      <c r="D203" s="9" t="str">
        <f>Calendario!$D203</f>
        <v>Vigília reencontro</v>
      </c>
      <c r="E203" s="5" t="str">
        <f>Calendario!$E203</f>
        <v>Templo</v>
      </c>
      <c r="F203" s="5" t="str">
        <f>Calendario!$F203</f>
        <v>Secretaria do discipulado</v>
      </c>
      <c r="G203" s="5"/>
      <c r="H203" s="6" t="str">
        <f t="shared" si="1"/>
        <v>1</v>
      </c>
      <c r="I203" s="6"/>
      <c r="J203" s="10" t="str">
        <f>'traspo ñ alterar'!$B203</f>
        <v>4/9/26</v>
      </c>
      <c r="K203" s="6" t="str">
        <f t="shared" si="2"/>
        <v>Vigília reencontro</v>
      </c>
      <c r="L203" s="6" t="str">
        <f t="shared" si="3"/>
        <v>Sexta cabeceira</v>
      </c>
      <c r="M203" s="6" t="str">
        <f t="shared" si="4"/>
        <v/>
      </c>
      <c r="N203" s="6" t="str">
        <f t="shared" si="5"/>
        <v>MOSTRAR</v>
      </c>
    </row>
    <row r="204" ht="15.75" customHeight="1">
      <c r="A204" s="1"/>
      <c r="B204" s="8" t="str">
        <f>Calendario!$B204</f>
        <v>4/9</v>
      </c>
      <c r="C204" s="3" t="str">
        <f>Calendario!$C204</f>
        <v>Friday</v>
      </c>
      <c r="D204" s="9" t="str">
        <f>Calendario!$D204</f>
        <v>Sexta cabeceira</v>
      </c>
      <c r="E204" s="5" t="str">
        <f>Calendario!$E204</f>
        <v>Quadra</v>
      </c>
      <c r="F204" s="5" t="str">
        <f>Calendario!$F204</f>
        <v>Inteensos</v>
      </c>
      <c r="G204" s="5"/>
      <c r="H204" s="6" t="str">
        <f t="shared" si="1"/>
        <v>2</v>
      </c>
      <c r="I204" s="6"/>
      <c r="J204" s="10" t="str">
        <f>'traspo ñ alterar'!$B204</f>
        <v>4/9/26</v>
      </c>
      <c r="K204" s="6" t="str">
        <f t="shared" si="2"/>
        <v/>
      </c>
      <c r="L204" s="6" t="str">
        <f t="shared" si="3"/>
        <v/>
      </c>
      <c r="M204" s="6" t="str">
        <f t="shared" si="4"/>
        <v/>
      </c>
      <c r="N204" s="6" t="str">
        <f t="shared" si="5"/>
        <v>OCULTAR</v>
      </c>
    </row>
    <row r="205" ht="15.75" customHeight="1">
      <c r="A205" s="1"/>
      <c r="B205" s="8" t="str">
        <f>Calendario!$B205</f>
        <v>6/9</v>
      </c>
      <c r="C205" s="3" t="str">
        <f>Calendario!$C205</f>
        <v>Sunday</v>
      </c>
      <c r="D205" s="9" t="str">
        <f>Calendario!$D205</f>
        <v>Culto em Rio Brilhante</v>
      </c>
      <c r="E205" s="5" t="str">
        <f>Calendario!$E205</f>
        <v/>
      </c>
      <c r="F205" s="5" t="str">
        <f>Calendario!$F205</f>
        <v/>
      </c>
      <c r="G205" s="5"/>
      <c r="H205" s="6" t="str">
        <f t="shared" si="1"/>
        <v>1</v>
      </c>
      <c r="I205" s="6"/>
      <c r="J205" s="10" t="str">
        <f>'traspo ñ alterar'!$B205</f>
        <v>6/9/26</v>
      </c>
      <c r="K205" s="6" t="str">
        <f t="shared" si="2"/>
        <v>Culto em Rio Brilhante</v>
      </c>
      <c r="L205" s="6" t="str">
        <f t="shared" si="3"/>
        <v/>
      </c>
      <c r="M205" s="6" t="str">
        <f t="shared" si="4"/>
        <v/>
      </c>
      <c r="N205" s="6" t="str">
        <f t="shared" si="5"/>
        <v>MOSTRAR</v>
      </c>
    </row>
    <row r="206" ht="15.75" customHeight="1">
      <c r="A206" s="1"/>
      <c r="B206" s="8" t="str">
        <f>Calendario!$B206</f>
        <v>9/9</v>
      </c>
      <c r="C206" s="3" t="str">
        <f>Calendario!$C206</f>
        <v>Wednesday</v>
      </c>
      <c r="D206" s="9" t="str">
        <f>Calendario!$D206</f>
        <v>Célula</v>
      </c>
      <c r="E206" s="5" t="str">
        <f>Calendario!$E206</f>
        <v/>
      </c>
      <c r="F206" s="5" t="str">
        <f>Calendario!$F206</f>
        <v/>
      </c>
      <c r="G206" s="5"/>
      <c r="H206" s="6" t="str">
        <f t="shared" si="1"/>
        <v>1</v>
      </c>
      <c r="I206" s="6"/>
      <c r="J206" s="10" t="str">
        <f>'traspo ñ alterar'!$B206</f>
        <v>9/9/26</v>
      </c>
      <c r="K206" s="6" t="str">
        <f t="shared" si="2"/>
        <v>Célula</v>
      </c>
      <c r="L206" s="6" t="str">
        <f t="shared" si="3"/>
        <v/>
      </c>
      <c r="M206" s="6" t="str">
        <f t="shared" si="4"/>
        <v/>
      </c>
      <c r="N206" s="6" t="str">
        <f t="shared" si="5"/>
        <v>MOSTRAR</v>
      </c>
    </row>
    <row r="207" ht="15.75" customHeight="1">
      <c r="A207" s="1"/>
      <c r="B207" s="8" t="str">
        <f>Calendario!$B207</f>
        <v>11/9</v>
      </c>
      <c r="C207" s="3" t="str">
        <f>Calendario!$C207</f>
        <v>Friday</v>
      </c>
      <c r="D207" s="9" t="str">
        <f>Calendario!$D207</f>
        <v>Vigilia reencontro</v>
      </c>
      <c r="E207" s="5" t="str">
        <f>Calendario!$E207</f>
        <v>Templo</v>
      </c>
      <c r="F207" s="5" t="str">
        <f>Calendario!$F207</f>
        <v>Secretaria do discipulado</v>
      </c>
      <c r="G207" s="5"/>
      <c r="H207" s="6" t="str">
        <f t="shared" si="1"/>
        <v>1</v>
      </c>
      <c r="I207" s="6"/>
      <c r="J207" s="10" t="str">
        <f>'traspo ñ alterar'!$B207</f>
        <v>11/9/26</v>
      </c>
      <c r="K207" s="6" t="str">
        <f t="shared" si="2"/>
        <v>Vigilia reencontro</v>
      </c>
      <c r="L207" s="6" t="str">
        <f t="shared" si="3"/>
        <v>Sexta cabeceira</v>
      </c>
      <c r="M207" s="6" t="str">
        <f t="shared" si="4"/>
        <v/>
      </c>
      <c r="N207" s="6" t="str">
        <f t="shared" si="5"/>
        <v>MOSTRAR</v>
      </c>
    </row>
    <row r="208" ht="15.75" customHeight="1">
      <c r="A208" s="1"/>
      <c r="B208" s="8" t="str">
        <f>Calendario!$B208</f>
        <v>11/9</v>
      </c>
      <c r="C208" s="3" t="str">
        <f>Calendario!$C208</f>
        <v>Friday</v>
      </c>
      <c r="D208" s="9" t="str">
        <f>Calendario!$D208</f>
        <v>Sexta cabeceira</v>
      </c>
      <c r="E208" s="5" t="str">
        <f>Calendario!$E208</f>
        <v>Quadra</v>
      </c>
      <c r="F208" s="5" t="str">
        <f>Calendario!$F208</f>
        <v>Inteensos</v>
      </c>
      <c r="G208" s="5"/>
      <c r="H208" s="6" t="str">
        <f t="shared" si="1"/>
        <v>2</v>
      </c>
      <c r="I208" s="6"/>
      <c r="J208" s="10" t="str">
        <f>'traspo ñ alterar'!$B208</f>
        <v>11/9/26</v>
      </c>
      <c r="K208" s="6" t="str">
        <f t="shared" si="2"/>
        <v/>
      </c>
      <c r="L208" s="6" t="str">
        <f t="shared" si="3"/>
        <v/>
      </c>
      <c r="M208" s="6" t="str">
        <f t="shared" si="4"/>
        <v/>
      </c>
      <c r="N208" s="6" t="str">
        <f t="shared" si="5"/>
        <v>OCULTAR</v>
      </c>
    </row>
    <row r="209" ht="15.75" customHeight="1">
      <c r="A209" s="1"/>
      <c r="B209" s="8" t="str">
        <f>Calendario!$B209</f>
        <v>12/9</v>
      </c>
      <c r="C209" s="3" t="str">
        <f>Calendario!$C209</f>
        <v>Saturday</v>
      </c>
      <c r="D209" s="9" t="str">
        <f>Calendario!$D209</f>
        <v>Relogio de oração</v>
      </c>
      <c r="E209" s="5" t="str">
        <f>Calendario!$E209</f>
        <v/>
      </c>
      <c r="F209" s="5" t="str">
        <f>Calendario!$F209</f>
        <v>Intercessão</v>
      </c>
      <c r="G209" s="5"/>
      <c r="H209" s="6" t="str">
        <f t="shared" si="1"/>
        <v>1</v>
      </c>
      <c r="I209" s="6"/>
      <c r="J209" s="10" t="str">
        <f>'traspo ñ alterar'!$B209</f>
        <v>12/9/26</v>
      </c>
      <c r="K209" s="6" t="str">
        <f t="shared" si="2"/>
        <v>Relogio de oração</v>
      </c>
      <c r="L209" s="6" t="str">
        <f t="shared" si="3"/>
        <v>Inteensos</v>
      </c>
      <c r="M209" s="6" t="str">
        <f t="shared" si="4"/>
        <v>Bazar</v>
      </c>
      <c r="N209" s="6" t="str">
        <f t="shared" si="5"/>
        <v>MOSTRAR</v>
      </c>
    </row>
    <row r="210" ht="15.75" customHeight="1">
      <c r="A210" s="1"/>
      <c r="B210" s="8" t="str">
        <f>Calendario!$B210</f>
        <v>12/9</v>
      </c>
      <c r="C210" s="3" t="str">
        <f>Calendario!$C210</f>
        <v>Saturday</v>
      </c>
      <c r="D210" s="9" t="str">
        <f>Calendario!$D210</f>
        <v>Inteensos</v>
      </c>
      <c r="E210" s="5" t="str">
        <f>Calendario!$E210</f>
        <v>Templo</v>
      </c>
      <c r="F210" s="5" t="str">
        <f>Calendario!$F210</f>
        <v>Inteensos</v>
      </c>
      <c r="G210" s="5"/>
      <c r="H210" s="6" t="str">
        <f t="shared" si="1"/>
        <v>2</v>
      </c>
      <c r="I210" s="6"/>
      <c r="J210" s="10" t="str">
        <f>'traspo ñ alterar'!$B210</f>
        <v>12/9/26</v>
      </c>
      <c r="K210" s="6" t="str">
        <f t="shared" si="2"/>
        <v/>
      </c>
      <c r="L210" s="6" t="str">
        <f t="shared" si="3"/>
        <v/>
      </c>
      <c r="M210" s="6" t="str">
        <f t="shared" si="4"/>
        <v/>
      </c>
      <c r="N210" s="6" t="str">
        <f t="shared" si="5"/>
        <v>OCULTAR</v>
      </c>
    </row>
    <row r="211" ht="15.75" customHeight="1">
      <c r="A211" s="1"/>
      <c r="B211" s="8" t="str">
        <f>Calendario!$B211</f>
        <v>12/9</v>
      </c>
      <c r="C211" s="3" t="str">
        <f>Calendario!$C211</f>
        <v>Saturday</v>
      </c>
      <c r="D211" s="9" t="str">
        <f>Calendario!$D211</f>
        <v>Bazar</v>
      </c>
      <c r="E211" s="5" t="str">
        <f>Calendario!$E211</f>
        <v/>
      </c>
      <c r="F211" s="5" t="str">
        <f>Calendario!$F211</f>
        <v>SMM</v>
      </c>
      <c r="G211" s="5"/>
      <c r="H211" s="6" t="str">
        <f t="shared" si="1"/>
        <v>3</v>
      </c>
      <c r="I211" s="6"/>
      <c r="J211" s="10" t="str">
        <f>'traspo ñ alterar'!$B211</f>
        <v>12/9/26</v>
      </c>
      <c r="K211" s="6" t="str">
        <f t="shared" si="2"/>
        <v/>
      </c>
      <c r="L211" s="6" t="str">
        <f t="shared" si="3"/>
        <v/>
      </c>
      <c r="M211" s="6" t="str">
        <f t="shared" si="4"/>
        <v/>
      </c>
      <c r="N211" s="6" t="str">
        <f t="shared" si="5"/>
        <v>OCULTAR</v>
      </c>
    </row>
    <row r="212" ht="15.75" customHeight="1">
      <c r="A212" s="1"/>
      <c r="B212" s="8" t="str">
        <f>Calendario!$B212</f>
        <v>13/9</v>
      </c>
      <c r="C212" s="3" t="str">
        <f>Calendario!$C212</f>
        <v>Sunday</v>
      </c>
      <c r="D212" s="9" t="str">
        <f>Calendario!$D212</f>
        <v>Cantina Prol GE</v>
      </c>
      <c r="E212" s="5" t="str">
        <f>Calendario!$E212</f>
        <v>Templo /Dia do Juvenil </v>
      </c>
      <c r="F212" s="5" t="str">
        <f>Calendario!$F212</f>
        <v>Inteensos</v>
      </c>
      <c r="G212" s="5"/>
      <c r="H212" s="6" t="str">
        <f t="shared" si="1"/>
        <v>1</v>
      </c>
      <c r="I212" s="6"/>
      <c r="J212" s="10" t="str">
        <f>'traspo ñ alterar'!$B212</f>
        <v>13/9/26</v>
      </c>
      <c r="K212" s="6" t="str">
        <f t="shared" si="2"/>
        <v>Cantina Prol GE</v>
      </c>
      <c r="L212" s="6" t="str">
        <f t="shared" si="3"/>
        <v/>
      </c>
      <c r="M212" s="6" t="str">
        <f t="shared" si="4"/>
        <v/>
      </c>
      <c r="N212" s="6" t="str">
        <f t="shared" si="5"/>
        <v>MOSTRAR</v>
      </c>
    </row>
    <row r="213" ht="15.75" customHeight="1">
      <c r="A213" s="1"/>
      <c r="B213" s="8" t="str">
        <f>Calendario!$B213</f>
        <v>16/9</v>
      </c>
      <c r="C213" s="3" t="str">
        <f>Calendario!$C213</f>
        <v>Wednesday</v>
      </c>
      <c r="D213" s="9" t="str">
        <f>Calendario!$D213</f>
        <v>Célula</v>
      </c>
      <c r="E213" s="5" t="str">
        <f>Calendario!$E213</f>
        <v/>
      </c>
      <c r="F213" s="5" t="str">
        <f>Calendario!$F213</f>
        <v/>
      </c>
      <c r="G213" s="5"/>
      <c r="H213" s="6" t="str">
        <f t="shared" si="1"/>
        <v>1</v>
      </c>
      <c r="I213" s="6"/>
      <c r="J213" s="10" t="str">
        <f>'traspo ñ alterar'!$B213</f>
        <v>16/9/26</v>
      </c>
      <c r="K213" s="6" t="str">
        <f t="shared" si="2"/>
        <v>Célula</v>
      </c>
      <c r="L213" s="6" t="str">
        <f t="shared" si="3"/>
        <v/>
      </c>
      <c r="M213" s="6" t="str">
        <f t="shared" si="4"/>
        <v/>
      </c>
      <c r="N213" s="6" t="str">
        <f t="shared" si="5"/>
        <v>MOSTRAR</v>
      </c>
    </row>
    <row r="214" ht="15.75" customHeight="1">
      <c r="A214" s="1"/>
      <c r="B214" s="8" t="str">
        <f>Calendario!$B214</f>
        <v>17/9</v>
      </c>
      <c r="C214" s="3" t="str">
        <f>Calendario!$C214</f>
        <v>Thursday</v>
      </c>
      <c r="D214" s="9" t="str">
        <f>Calendario!$D214</f>
        <v>Futebol </v>
      </c>
      <c r="E214" s="5" t="str">
        <f>Calendario!$E214</f>
        <v>Fora das dependências da igreja</v>
      </c>
      <c r="F214" s="5" t="str">
        <f>Calendario!$F214</f>
        <v>SMH</v>
      </c>
      <c r="G214" s="5"/>
      <c r="H214" s="6" t="str">
        <f t="shared" si="1"/>
        <v>1</v>
      </c>
      <c r="I214" s="6"/>
      <c r="J214" s="10" t="str">
        <f>'traspo ñ alterar'!$B214</f>
        <v>17/9/26</v>
      </c>
      <c r="K214" s="6" t="str">
        <f t="shared" si="2"/>
        <v>Futebol </v>
      </c>
      <c r="L214" s="6" t="str">
        <f t="shared" si="3"/>
        <v/>
      </c>
      <c r="M214" s="6" t="str">
        <f t="shared" si="4"/>
        <v/>
      </c>
      <c r="N214" s="6" t="str">
        <f t="shared" si="5"/>
        <v>MOSTRAR</v>
      </c>
    </row>
    <row r="215" ht="15.75" customHeight="1">
      <c r="A215" s="1"/>
      <c r="B215" s="8" t="str">
        <f>Calendario!$B215</f>
        <v>18/9</v>
      </c>
      <c r="C215" s="3" t="str">
        <f>Calendario!$C215</f>
        <v>Friday</v>
      </c>
      <c r="D215" s="9" t="str">
        <f>Calendario!$D215</f>
        <v>Sexta cabeceira</v>
      </c>
      <c r="E215" s="5" t="str">
        <f>Calendario!$E215</f>
        <v>Quadra</v>
      </c>
      <c r="F215" s="5" t="str">
        <f>Calendario!$F215</f>
        <v>Inteensos</v>
      </c>
      <c r="G215" s="5"/>
      <c r="H215" s="6" t="str">
        <f t="shared" si="1"/>
        <v>1</v>
      </c>
      <c r="I215" s="6"/>
      <c r="J215" s="10" t="str">
        <f>'traspo ñ alterar'!$B215</f>
        <v>18/9/26</v>
      </c>
      <c r="K215" s="6" t="str">
        <f t="shared" si="2"/>
        <v>Sexta cabeceira</v>
      </c>
      <c r="L215" s="6" t="str">
        <f t="shared" si="3"/>
        <v/>
      </c>
      <c r="M215" s="6" t="str">
        <f t="shared" si="4"/>
        <v/>
      </c>
      <c r="N215" s="6" t="str">
        <f t="shared" si="5"/>
        <v>MOSTRAR</v>
      </c>
    </row>
    <row r="216" ht="15.75" customHeight="1">
      <c r="A216" s="1"/>
      <c r="B216" s="8" t="str">
        <f>Calendario!$B216</f>
        <v>19/9</v>
      </c>
      <c r="C216" s="3" t="str">
        <f>Calendario!$C216</f>
        <v>Saturday</v>
      </c>
      <c r="D216" s="9" t="str">
        <f>Calendario!$D216</f>
        <v>Clamor 24 horas</v>
      </c>
      <c r="E216" s="5" t="str">
        <f>Calendario!$E216</f>
        <v>Templo</v>
      </c>
      <c r="F216" s="5" t="str">
        <f>Calendario!$F216</f>
        <v>Intercessão</v>
      </c>
      <c r="G216" s="5"/>
      <c r="H216" s="6" t="str">
        <f t="shared" si="1"/>
        <v>1</v>
      </c>
      <c r="I216" s="6"/>
      <c r="J216" s="10" t="str">
        <f>'traspo ñ alterar'!$B216</f>
        <v>19/9/26</v>
      </c>
      <c r="K216" s="6" t="str">
        <f t="shared" si="2"/>
        <v>Clamor 24 horas</v>
      </c>
      <c r="L216" s="6" t="str">
        <f t="shared" si="3"/>
        <v/>
      </c>
      <c r="M216" s="6" t="str">
        <f t="shared" si="4"/>
        <v/>
      </c>
      <c r="N216" s="6" t="str">
        <f t="shared" si="5"/>
        <v>MOSTRAR</v>
      </c>
    </row>
    <row r="217" ht="15.75" customHeight="1">
      <c r="A217" s="1"/>
      <c r="B217" s="8" t="str">
        <f>Calendario!$B217</f>
        <v>20/9</v>
      </c>
      <c r="C217" s="3" t="str">
        <f>Calendario!$C217</f>
        <v>Sunday</v>
      </c>
      <c r="D217" s="9" t="str">
        <f>Calendario!$D217</f>
        <v>Jejum 6h</v>
      </c>
      <c r="E217" s="5" t="str">
        <f>Calendario!$E217</f>
        <v/>
      </c>
      <c r="F217" s="5" t="str">
        <f>Calendario!$F217</f>
        <v/>
      </c>
      <c r="G217" s="5"/>
      <c r="H217" s="6" t="str">
        <f t="shared" si="1"/>
        <v>1</v>
      </c>
      <c r="I217" s="6"/>
      <c r="J217" s="10" t="str">
        <f>'traspo ñ alterar'!$B217</f>
        <v>20/9/26</v>
      </c>
      <c r="K217" s="6" t="str">
        <f t="shared" si="2"/>
        <v>Jejum 6h</v>
      </c>
      <c r="L217" s="6" t="str">
        <f t="shared" si="3"/>
        <v>Dia da EBD</v>
      </c>
      <c r="M217" s="6" t="str">
        <f t="shared" si="4"/>
        <v>Clamor 24 horas</v>
      </c>
      <c r="N217" s="6" t="str">
        <f t="shared" si="5"/>
        <v>MOSTRAR</v>
      </c>
    </row>
    <row r="218" ht="15.75" customHeight="1">
      <c r="A218" s="1"/>
      <c r="B218" s="8" t="str">
        <f>Calendario!$B218</f>
        <v>20/9</v>
      </c>
      <c r="C218" s="3" t="str">
        <f>Calendario!$C218</f>
        <v>Sunday</v>
      </c>
      <c r="D218" s="9" t="str">
        <f>Calendario!$D218</f>
        <v>Dia da EBD</v>
      </c>
      <c r="E218" s="5" t="str">
        <f>Calendario!$E218</f>
        <v>Templo</v>
      </c>
      <c r="F218" s="5" t="str">
        <f>Calendario!$F218</f>
        <v>EBD</v>
      </c>
      <c r="G218" s="5"/>
      <c r="H218" s="6" t="str">
        <f t="shared" si="1"/>
        <v>2</v>
      </c>
      <c r="I218" s="6"/>
      <c r="J218" s="10" t="str">
        <f>'traspo ñ alterar'!$B218</f>
        <v>20/9/26</v>
      </c>
      <c r="K218" s="6" t="str">
        <f t="shared" si="2"/>
        <v/>
      </c>
      <c r="L218" s="6" t="str">
        <f t="shared" si="3"/>
        <v/>
      </c>
      <c r="M218" s="6" t="str">
        <f t="shared" si="4"/>
        <v/>
      </c>
      <c r="N218" s="6" t="str">
        <f t="shared" si="5"/>
        <v>OCULTAR</v>
      </c>
    </row>
    <row r="219" ht="15.75" customHeight="1">
      <c r="A219" s="1"/>
      <c r="B219" s="8" t="str">
        <f>Calendario!$B219</f>
        <v>20/9</v>
      </c>
      <c r="C219" s="3" t="str">
        <f>Calendario!$C219</f>
        <v>Sunday</v>
      </c>
      <c r="D219" s="9" t="str">
        <f>Calendario!$D219</f>
        <v>Clamor 24 horas</v>
      </c>
      <c r="E219" s="5" t="str">
        <f>Calendario!$E219</f>
        <v>Templo</v>
      </c>
      <c r="F219" s="5" t="str">
        <f>Calendario!$F219</f>
        <v>Intercessão</v>
      </c>
      <c r="G219" s="5"/>
      <c r="H219" s="6" t="str">
        <f t="shared" si="1"/>
        <v>3</v>
      </c>
      <c r="I219" s="6"/>
      <c r="J219" s="10" t="str">
        <f>'traspo ñ alterar'!$B219</f>
        <v>20/9/26</v>
      </c>
      <c r="K219" s="6" t="str">
        <f t="shared" si="2"/>
        <v/>
      </c>
      <c r="L219" s="6" t="str">
        <f t="shared" si="3"/>
        <v/>
      </c>
      <c r="M219" s="6" t="str">
        <f t="shared" si="4"/>
        <v/>
      </c>
      <c r="N219" s="6" t="str">
        <f t="shared" si="5"/>
        <v>OCULTAR</v>
      </c>
    </row>
    <row r="220" ht="15.75" customHeight="1">
      <c r="A220" s="1"/>
      <c r="B220" s="8" t="str">
        <f>Calendario!$B220</f>
        <v>21/9</v>
      </c>
      <c r="C220" s="3" t="str">
        <f>Calendario!$C220</f>
        <v>Monday</v>
      </c>
      <c r="D220" s="9" t="str">
        <f>Calendario!$D220</f>
        <v>Jejum 6h</v>
      </c>
      <c r="E220" s="5" t="str">
        <f>Calendario!$E220</f>
        <v/>
      </c>
      <c r="F220" s="5" t="str">
        <f>Calendario!$F220</f>
        <v/>
      </c>
      <c r="G220" s="5"/>
      <c r="H220" s="6" t="str">
        <f t="shared" si="1"/>
        <v>1</v>
      </c>
      <c r="I220" s="6"/>
      <c r="J220" s="10" t="str">
        <f>'traspo ñ alterar'!$B220</f>
        <v>21/9/26</v>
      </c>
      <c r="K220" s="6" t="str">
        <f t="shared" si="2"/>
        <v>Jejum 6h</v>
      </c>
      <c r="L220" s="6" t="str">
        <f t="shared" si="3"/>
        <v/>
      </c>
      <c r="M220" s="6" t="str">
        <f t="shared" si="4"/>
        <v/>
      </c>
      <c r="N220" s="6" t="str">
        <f t="shared" si="5"/>
        <v>MOSTRAR</v>
      </c>
    </row>
    <row r="221" ht="15.75" customHeight="1">
      <c r="A221" s="1"/>
      <c r="B221" s="8" t="str">
        <f>Calendario!$B221</f>
        <v>22/9</v>
      </c>
      <c r="C221" s="3" t="str">
        <f>Calendario!$C221</f>
        <v>Tuesday</v>
      </c>
      <c r="D221" s="9" t="str">
        <f>Calendario!$D221</f>
        <v>Jejum 6h</v>
      </c>
      <c r="E221" s="5" t="str">
        <f>Calendario!$E221</f>
        <v/>
      </c>
      <c r="F221" s="5" t="str">
        <f>Calendario!$F221</f>
        <v/>
      </c>
      <c r="G221" s="5"/>
      <c r="H221" s="6" t="str">
        <f t="shared" si="1"/>
        <v>1</v>
      </c>
      <c r="I221" s="6"/>
      <c r="J221" s="10" t="str">
        <f>'traspo ñ alterar'!$B221</f>
        <v>22/9/26</v>
      </c>
      <c r="K221" s="6" t="str">
        <f t="shared" si="2"/>
        <v>Jejum 6h</v>
      </c>
      <c r="L221" s="6" t="str">
        <f t="shared" si="3"/>
        <v/>
      </c>
      <c r="M221" s="6" t="str">
        <f t="shared" si="4"/>
        <v/>
      </c>
      <c r="N221" s="6" t="str">
        <f t="shared" si="5"/>
        <v>MOSTRAR</v>
      </c>
    </row>
    <row r="222" ht="15.75" customHeight="1">
      <c r="A222" s="1"/>
      <c r="B222" s="8" t="str">
        <f>Calendario!$B222</f>
        <v>23/9</v>
      </c>
      <c r="C222" s="3" t="str">
        <f>Calendario!$C222</f>
        <v>Wednesday</v>
      </c>
      <c r="D222" s="9" t="str">
        <f>Calendario!$D222</f>
        <v>Jejum 6h</v>
      </c>
      <c r="E222" s="5" t="str">
        <f>Calendario!$E222</f>
        <v/>
      </c>
      <c r="F222" s="5" t="str">
        <f>Calendario!$F222</f>
        <v/>
      </c>
      <c r="G222" s="5"/>
      <c r="H222" s="6" t="str">
        <f t="shared" si="1"/>
        <v>1</v>
      </c>
      <c r="I222" s="6"/>
      <c r="J222" s="10" t="str">
        <f>'traspo ñ alterar'!$B222</f>
        <v>23/9/26</v>
      </c>
      <c r="K222" s="6" t="str">
        <f t="shared" si="2"/>
        <v>Jejum 6h</v>
      </c>
      <c r="L222" s="6" t="str">
        <f t="shared" si="3"/>
        <v>Célula</v>
      </c>
      <c r="M222" s="6" t="str">
        <f t="shared" si="4"/>
        <v/>
      </c>
      <c r="N222" s="6" t="str">
        <f t="shared" si="5"/>
        <v>MOSTRAR</v>
      </c>
    </row>
    <row r="223" ht="15.75" customHeight="1">
      <c r="A223" s="1"/>
      <c r="B223" s="8" t="str">
        <f>Calendario!$B223</f>
        <v>23/9</v>
      </c>
      <c r="C223" s="3" t="str">
        <f>Calendario!$C223</f>
        <v>Wednesday</v>
      </c>
      <c r="D223" s="9" t="str">
        <f>Calendario!$D223</f>
        <v>Célula</v>
      </c>
      <c r="E223" s="5" t="str">
        <f>Calendario!$E223</f>
        <v/>
      </c>
      <c r="F223" s="5" t="str">
        <f>Calendario!$F223</f>
        <v/>
      </c>
      <c r="G223" s="5"/>
      <c r="H223" s="6" t="str">
        <f t="shared" si="1"/>
        <v>2</v>
      </c>
      <c r="I223" s="6"/>
      <c r="J223" s="10" t="str">
        <f>'traspo ñ alterar'!$B223</f>
        <v>23/9/26</v>
      </c>
      <c r="K223" s="6" t="str">
        <f t="shared" si="2"/>
        <v/>
      </c>
      <c r="L223" s="6" t="str">
        <f t="shared" si="3"/>
        <v/>
      </c>
      <c r="M223" s="6" t="str">
        <f t="shared" si="4"/>
        <v/>
      </c>
      <c r="N223" s="6" t="str">
        <f t="shared" si="5"/>
        <v>OCULTAR</v>
      </c>
    </row>
    <row r="224" ht="15.75" customHeight="1">
      <c r="A224" s="1"/>
      <c r="B224" s="8" t="str">
        <f>Calendario!$B224</f>
        <v>24/9</v>
      </c>
      <c r="C224" s="3" t="str">
        <f>Calendario!$C224</f>
        <v>Thursday</v>
      </c>
      <c r="D224" s="9" t="str">
        <f>Calendario!$D224</f>
        <v>Jejum 6h</v>
      </c>
      <c r="E224" s="5" t="str">
        <f>Calendario!$E224</f>
        <v/>
      </c>
      <c r="F224" s="5" t="str">
        <f>Calendario!$F224</f>
        <v/>
      </c>
      <c r="G224" s="5"/>
      <c r="H224" s="6" t="str">
        <f t="shared" si="1"/>
        <v>1</v>
      </c>
      <c r="I224" s="6"/>
      <c r="J224" s="10" t="str">
        <f>'traspo ñ alterar'!$B224</f>
        <v>24/9/26</v>
      </c>
      <c r="K224" s="6" t="str">
        <f t="shared" si="2"/>
        <v>Jejum 6h</v>
      </c>
      <c r="L224" s="6" t="str">
        <f t="shared" si="3"/>
        <v/>
      </c>
      <c r="M224" s="6" t="str">
        <f t="shared" si="4"/>
        <v/>
      </c>
      <c r="N224" s="6" t="str">
        <f t="shared" si="5"/>
        <v>MOSTRAR</v>
      </c>
    </row>
    <row r="225" ht="15.75" customHeight="1">
      <c r="A225" s="1"/>
      <c r="B225" s="8" t="str">
        <f>Calendario!$B225</f>
        <v>25/9</v>
      </c>
      <c r="C225" s="3" t="str">
        <f>Calendario!$C225</f>
        <v>Friday</v>
      </c>
      <c r="D225" s="9" t="str">
        <f>Calendario!$D225</f>
        <v>Jejum 6h</v>
      </c>
      <c r="E225" s="5" t="str">
        <f>Calendario!$E225</f>
        <v/>
      </c>
      <c r="F225" s="5" t="str">
        <f>Calendario!$F225</f>
        <v/>
      </c>
      <c r="G225" s="5"/>
      <c r="H225" s="6" t="str">
        <f t="shared" si="1"/>
        <v>1</v>
      </c>
      <c r="I225" s="6"/>
      <c r="J225" s="10" t="str">
        <f>'traspo ñ alterar'!$B225</f>
        <v>25/9/26</v>
      </c>
      <c r="K225" s="6" t="str">
        <f t="shared" si="2"/>
        <v>Jejum 6h</v>
      </c>
      <c r="L225" s="6" t="str">
        <f t="shared" si="3"/>
        <v>Sexta cabeceira</v>
      </c>
      <c r="M225" s="6" t="str">
        <f t="shared" si="4"/>
        <v/>
      </c>
      <c r="N225" s="6" t="str">
        <f t="shared" si="5"/>
        <v>MOSTRAR</v>
      </c>
    </row>
    <row r="226" ht="15.75" customHeight="1">
      <c r="A226" s="1"/>
      <c r="B226" s="8" t="str">
        <f>Calendario!$B226</f>
        <v>25/9</v>
      </c>
      <c r="C226" s="3" t="str">
        <f>Calendario!$C226</f>
        <v>Friday</v>
      </c>
      <c r="D226" s="9" t="str">
        <f>Calendario!$D226</f>
        <v>Sexta cabeceira</v>
      </c>
      <c r="E226" s="5" t="str">
        <f>Calendario!$E226</f>
        <v/>
      </c>
      <c r="F226" s="5" t="str">
        <f>Calendario!$F226</f>
        <v/>
      </c>
      <c r="G226" s="5"/>
      <c r="H226" s="6" t="str">
        <f t="shared" si="1"/>
        <v>2</v>
      </c>
      <c r="I226" s="6"/>
      <c r="J226" s="10" t="str">
        <f>'traspo ñ alterar'!$B226</f>
        <v>25/9/26</v>
      </c>
      <c r="K226" s="6" t="str">
        <f t="shared" si="2"/>
        <v/>
      </c>
      <c r="L226" s="6" t="str">
        <f t="shared" si="3"/>
        <v/>
      </c>
      <c r="M226" s="6" t="str">
        <f t="shared" si="4"/>
        <v/>
      </c>
      <c r="N226" s="6" t="str">
        <f t="shared" si="5"/>
        <v>OCULTAR</v>
      </c>
    </row>
    <row r="227" ht="15.75" customHeight="1">
      <c r="A227" s="1"/>
      <c r="B227" s="8" t="str">
        <f>Calendario!$B227</f>
        <v>26/9</v>
      </c>
      <c r="C227" s="3" t="str">
        <f>Calendario!$C227</f>
        <v>Saturday</v>
      </c>
      <c r="D227" s="9" t="str">
        <f>Calendario!$D227</f>
        <v>Jejum 6h</v>
      </c>
      <c r="E227" s="5" t="str">
        <f>Calendario!$E227</f>
        <v/>
      </c>
      <c r="F227" s="5" t="str">
        <f>Calendario!$F227</f>
        <v/>
      </c>
      <c r="G227" s="5"/>
      <c r="H227" s="6" t="str">
        <f t="shared" si="1"/>
        <v>1</v>
      </c>
      <c r="I227" s="6"/>
      <c r="J227" s="10" t="str">
        <f>'traspo ñ alterar'!$B227</f>
        <v>26/9/26</v>
      </c>
      <c r="K227" s="6" t="str">
        <f t="shared" si="2"/>
        <v>Jejum 6h</v>
      </c>
      <c r="L227" s="6" t="str">
        <f t="shared" si="3"/>
        <v>Concilio Distrital</v>
      </c>
      <c r="M227" s="6" t="str">
        <f t="shared" si="4"/>
        <v/>
      </c>
      <c r="N227" s="6" t="str">
        <f t="shared" si="5"/>
        <v>MOSTRAR</v>
      </c>
    </row>
    <row r="228" ht="15.75" customHeight="1">
      <c r="A228" s="1"/>
      <c r="B228" s="8" t="str">
        <f>Calendario!$B228</f>
        <v>26/9</v>
      </c>
      <c r="C228" s="3" t="str">
        <f>Calendario!$C228</f>
        <v>Saturday</v>
      </c>
      <c r="D228" s="9" t="str">
        <f>Calendario!$D228</f>
        <v>Concilio Distrital</v>
      </c>
      <c r="E228" s="5" t="str">
        <f>Calendario!$E228</f>
        <v/>
      </c>
      <c r="F228" s="5" t="str">
        <f>Calendario!$F228</f>
        <v/>
      </c>
      <c r="G228" s="5"/>
      <c r="H228" s="6" t="str">
        <f t="shared" si="1"/>
        <v>2</v>
      </c>
      <c r="I228" s="6"/>
      <c r="J228" s="10" t="str">
        <f>'traspo ñ alterar'!$B228</f>
        <v>26/9/26</v>
      </c>
      <c r="K228" s="6" t="str">
        <f t="shared" si="2"/>
        <v/>
      </c>
      <c r="L228" s="6" t="str">
        <f t="shared" si="3"/>
        <v/>
      </c>
      <c r="M228" s="6" t="str">
        <f t="shared" si="4"/>
        <v/>
      </c>
      <c r="N228" s="6" t="str">
        <f t="shared" si="5"/>
        <v>OCULTAR</v>
      </c>
    </row>
    <row r="229" ht="15.75" customHeight="1">
      <c r="A229" s="1"/>
      <c r="B229" s="8" t="str">
        <f>Calendario!$B229</f>
        <v>27/9</v>
      </c>
      <c r="C229" s="3" t="str">
        <f>Calendario!$C229</f>
        <v>Sunday</v>
      </c>
      <c r="D229" s="9" t="str">
        <f>Calendario!$D229</f>
        <v>Jejum 12h</v>
      </c>
      <c r="E229" s="5" t="str">
        <f>Calendario!$E229</f>
        <v/>
      </c>
      <c r="F229" s="5" t="str">
        <f>Calendario!$F229</f>
        <v/>
      </c>
      <c r="G229" s="5"/>
      <c r="H229" s="6" t="str">
        <f t="shared" si="1"/>
        <v>1</v>
      </c>
      <c r="I229" s="6"/>
      <c r="J229" s="10" t="str">
        <f>'traspo ñ alterar'!$B229</f>
        <v>27/9/26</v>
      </c>
      <c r="K229" s="6" t="str">
        <f t="shared" si="2"/>
        <v>Jejum 12h</v>
      </c>
      <c r="L229" s="6" t="str">
        <f t="shared" si="3"/>
        <v>Culto missionário</v>
      </c>
      <c r="M229" s="6" t="str">
        <f t="shared" si="4"/>
        <v>Concilio Distrital</v>
      </c>
      <c r="N229" s="6" t="str">
        <f t="shared" si="5"/>
        <v>MOSTRAR</v>
      </c>
    </row>
    <row r="230" ht="15.75" customHeight="1">
      <c r="A230" s="1"/>
      <c r="B230" s="8" t="str">
        <f>Calendario!$B230</f>
        <v>27/9</v>
      </c>
      <c r="C230" s="3" t="str">
        <f>Calendario!$C230</f>
        <v>Sunday</v>
      </c>
      <c r="D230" s="9" t="str">
        <f>Calendario!$D230</f>
        <v>Culto missionário</v>
      </c>
      <c r="E230" s="5" t="str">
        <f>Calendario!$E230</f>
        <v/>
      </c>
      <c r="F230" s="5" t="str">
        <f>Calendario!$F230</f>
        <v>Pastoral</v>
      </c>
      <c r="G230" s="5"/>
      <c r="H230" s="6" t="str">
        <f t="shared" si="1"/>
        <v>2</v>
      </c>
      <c r="I230" s="6"/>
      <c r="J230" s="10" t="str">
        <f>'traspo ñ alterar'!$B230</f>
        <v>27/9/26</v>
      </c>
      <c r="K230" s="6" t="str">
        <f t="shared" si="2"/>
        <v/>
      </c>
      <c r="L230" s="6" t="str">
        <f t="shared" si="3"/>
        <v/>
      </c>
      <c r="M230" s="6" t="str">
        <f t="shared" si="4"/>
        <v/>
      </c>
      <c r="N230" s="6" t="str">
        <f t="shared" si="5"/>
        <v>OCULTAR</v>
      </c>
    </row>
    <row r="231" ht="15.75" customHeight="1">
      <c r="A231" s="1"/>
      <c r="B231" s="8" t="str">
        <f>Calendario!$B231</f>
        <v>27/9</v>
      </c>
      <c r="C231" s="3" t="str">
        <f>Calendario!$C231</f>
        <v>Sunday</v>
      </c>
      <c r="D231" s="9" t="str">
        <f>Calendario!$D231</f>
        <v>Concilio Distrital</v>
      </c>
      <c r="E231" s="5" t="str">
        <f>Calendario!$E231</f>
        <v/>
      </c>
      <c r="F231" s="5" t="str">
        <f>Calendario!$F231</f>
        <v/>
      </c>
      <c r="G231" s="5"/>
      <c r="H231" s="6" t="str">
        <f t="shared" si="1"/>
        <v>3</v>
      </c>
      <c r="I231" s="6"/>
      <c r="J231" s="10" t="str">
        <f>'traspo ñ alterar'!$B231</f>
        <v>27/9/26</v>
      </c>
      <c r="K231" s="6" t="str">
        <f t="shared" si="2"/>
        <v/>
      </c>
      <c r="L231" s="6" t="str">
        <f t="shared" si="3"/>
        <v/>
      </c>
      <c r="M231" s="6" t="str">
        <f t="shared" si="4"/>
        <v/>
      </c>
      <c r="N231" s="6" t="str">
        <f t="shared" si="5"/>
        <v>OCULTAR</v>
      </c>
    </row>
    <row r="232" ht="15.75" customHeight="1">
      <c r="A232" s="1"/>
      <c r="B232" s="8" t="str">
        <f>Calendario!$B232</f>
        <v>28/9</v>
      </c>
      <c r="C232" s="3" t="str">
        <f>Calendario!$C232</f>
        <v>Monday</v>
      </c>
      <c r="D232" s="9" t="str">
        <f>Calendario!$D232</f>
        <v>Jejum 12h</v>
      </c>
      <c r="E232" s="5" t="str">
        <f>Calendario!$E232</f>
        <v/>
      </c>
      <c r="F232" s="5" t="str">
        <f>Calendario!$F232</f>
        <v/>
      </c>
      <c r="G232" s="5"/>
      <c r="H232" s="6" t="str">
        <f t="shared" si="1"/>
        <v>1</v>
      </c>
      <c r="I232" s="6"/>
      <c r="J232" s="10" t="str">
        <f>'traspo ñ alterar'!$B232</f>
        <v>28/9/26</v>
      </c>
      <c r="K232" s="6" t="str">
        <f t="shared" si="2"/>
        <v>Jejum 12h</v>
      </c>
      <c r="L232" s="6" t="str">
        <f t="shared" si="3"/>
        <v/>
      </c>
      <c r="M232" s="6" t="str">
        <f t="shared" si="4"/>
        <v/>
      </c>
      <c r="N232" s="6" t="str">
        <f t="shared" si="5"/>
        <v>MOSTRAR</v>
      </c>
    </row>
    <row r="233" ht="15.75" customHeight="1">
      <c r="A233" s="1"/>
      <c r="B233" s="8" t="str">
        <f>Calendario!$B233</f>
        <v>29/9</v>
      </c>
      <c r="C233" s="3" t="str">
        <f>Calendario!$C233</f>
        <v>Tuesday</v>
      </c>
      <c r="D233" s="9" t="str">
        <f>Calendario!$D233</f>
        <v>Jejum 12h</v>
      </c>
      <c r="E233" s="5" t="str">
        <f>Calendario!$E233</f>
        <v/>
      </c>
      <c r="F233" s="5" t="str">
        <f>Calendario!$F233</f>
        <v/>
      </c>
      <c r="G233" s="5"/>
      <c r="H233" s="6" t="str">
        <f t="shared" si="1"/>
        <v>1</v>
      </c>
      <c r="I233" s="6"/>
      <c r="J233" s="10" t="str">
        <f>'traspo ñ alterar'!$B233</f>
        <v>29/9/26</v>
      </c>
      <c r="K233" s="6" t="str">
        <f t="shared" si="2"/>
        <v>Jejum 12h</v>
      </c>
      <c r="L233" s="6" t="str">
        <f t="shared" si="3"/>
        <v/>
      </c>
      <c r="M233" s="6" t="str">
        <f t="shared" si="4"/>
        <v/>
      </c>
      <c r="N233" s="6" t="str">
        <f t="shared" si="5"/>
        <v>MOSTRAR</v>
      </c>
    </row>
    <row r="234" ht="15.75" customHeight="1">
      <c r="A234" s="1"/>
      <c r="B234" s="8" t="str">
        <f>Calendario!$B234</f>
        <v>30/9</v>
      </c>
      <c r="C234" s="3" t="str">
        <f>Calendario!$C234</f>
        <v>Wednesday</v>
      </c>
      <c r="D234" s="9" t="str">
        <f>Calendario!$D234</f>
        <v>Jejum 12h</v>
      </c>
      <c r="E234" s="5" t="str">
        <f>Calendario!$E234</f>
        <v/>
      </c>
      <c r="F234" s="5" t="str">
        <f>Calendario!$F234</f>
        <v/>
      </c>
      <c r="G234" s="5"/>
      <c r="H234" s="6" t="str">
        <f t="shared" si="1"/>
        <v>1</v>
      </c>
      <c r="I234" s="6"/>
      <c r="J234" s="10" t="str">
        <f>'traspo ñ alterar'!$B234</f>
        <v>30/9/26</v>
      </c>
      <c r="K234" s="6" t="str">
        <f t="shared" si="2"/>
        <v>Jejum 12h</v>
      </c>
      <c r="L234" s="6" t="str">
        <f t="shared" si="3"/>
        <v>Dia do Secretário</v>
      </c>
      <c r="M234" s="6" t="str">
        <f t="shared" si="4"/>
        <v>Célula</v>
      </c>
      <c r="N234" s="6" t="str">
        <f t="shared" si="5"/>
        <v>MOSTRAR</v>
      </c>
    </row>
    <row r="235" ht="15.75" customHeight="1">
      <c r="A235" s="1"/>
      <c r="B235" s="8" t="str">
        <f>Calendario!$B235</f>
        <v>30/9</v>
      </c>
      <c r="C235" s="3" t="str">
        <f>Calendario!$C235</f>
        <v>Wednesday</v>
      </c>
      <c r="D235" s="9" t="str">
        <f>Calendario!$D235</f>
        <v>Dia do Secretário</v>
      </c>
      <c r="E235" s="5" t="str">
        <f>Calendario!$E235</f>
        <v>A definir</v>
      </c>
      <c r="F235" s="5" t="str">
        <f>Calendario!$F235</f>
        <v>EBD</v>
      </c>
      <c r="G235" s="5"/>
      <c r="H235" s="6" t="str">
        <f t="shared" si="1"/>
        <v>2</v>
      </c>
      <c r="I235" s="6"/>
      <c r="J235" s="10" t="str">
        <f>'traspo ñ alterar'!$B235</f>
        <v>30/9/26</v>
      </c>
      <c r="K235" s="6" t="str">
        <f t="shared" si="2"/>
        <v/>
      </c>
      <c r="L235" s="6" t="str">
        <f t="shared" si="3"/>
        <v/>
      </c>
      <c r="M235" s="6" t="str">
        <f t="shared" si="4"/>
        <v/>
      </c>
      <c r="N235" s="6" t="str">
        <f t="shared" si="5"/>
        <v>OCULTAR</v>
      </c>
    </row>
    <row r="236" ht="15.75" customHeight="1">
      <c r="A236" s="1"/>
      <c r="B236" s="8" t="str">
        <f>Calendario!$B236</f>
        <v>30/9</v>
      </c>
      <c r="C236" s="3" t="str">
        <f>Calendario!$C236</f>
        <v>Wednesday</v>
      </c>
      <c r="D236" s="9" t="str">
        <f>Calendario!$D236</f>
        <v>Célula</v>
      </c>
      <c r="E236" s="5" t="str">
        <f>Calendario!$E236</f>
        <v/>
      </c>
      <c r="F236" s="5" t="str">
        <f>Calendario!$F236</f>
        <v/>
      </c>
      <c r="G236" s="5"/>
      <c r="H236" s="6" t="str">
        <f t="shared" si="1"/>
        <v>3</v>
      </c>
      <c r="I236" s="6"/>
      <c r="J236" s="10" t="str">
        <f>'traspo ñ alterar'!$B236</f>
        <v>30/9/26</v>
      </c>
      <c r="K236" s="6" t="str">
        <f t="shared" si="2"/>
        <v/>
      </c>
      <c r="L236" s="6" t="str">
        <f t="shared" si="3"/>
        <v/>
      </c>
      <c r="M236" s="6" t="str">
        <f t="shared" si="4"/>
        <v/>
      </c>
      <c r="N236" s="6" t="str">
        <f t="shared" si="5"/>
        <v>OCULTAR</v>
      </c>
    </row>
    <row r="237" ht="15.75" customHeight="1">
      <c r="A237" s="1"/>
      <c r="B237" s="8" t="str">
        <f>Calendario!$B237</f>
        <v>1/10</v>
      </c>
      <c r="C237" s="3" t="str">
        <f>Calendario!$C237</f>
        <v>Thursday</v>
      </c>
      <c r="D237" s="9" t="str">
        <f>Calendario!$D237</f>
        <v>Jejum 12h</v>
      </c>
      <c r="E237" s="5" t="str">
        <f>Calendario!$E237</f>
        <v/>
      </c>
      <c r="F237" s="5" t="str">
        <f>Calendario!$F237</f>
        <v/>
      </c>
      <c r="G237" s="5"/>
      <c r="H237" s="6" t="str">
        <f t="shared" si="1"/>
        <v>1</v>
      </c>
      <c r="I237" s="6"/>
      <c r="J237" s="10" t="str">
        <f>'traspo ñ alterar'!$B237</f>
        <v>1/10/26</v>
      </c>
      <c r="K237" s="6" t="str">
        <f t="shared" si="2"/>
        <v>Jejum 12h</v>
      </c>
      <c r="L237" s="6" t="str">
        <f t="shared" si="3"/>
        <v/>
      </c>
      <c r="M237" s="6" t="str">
        <f t="shared" si="4"/>
        <v/>
      </c>
      <c r="N237" s="6" t="str">
        <f t="shared" si="5"/>
        <v>MOSTRAR</v>
      </c>
    </row>
    <row r="238" ht="15.75" customHeight="1">
      <c r="A238" s="1"/>
      <c r="B238" s="8" t="str">
        <f>Calendario!$B238</f>
        <v>2/10</v>
      </c>
      <c r="C238" s="3" t="str">
        <f>Calendario!$C238</f>
        <v>Friday</v>
      </c>
      <c r="D238" s="9" t="str">
        <f>Calendario!$D238</f>
        <v>Jejum 12h</v>
      </c>
      <c r="E238" s="5" t="str">
        <f>Calendario!$E238</f>
        <v/>
      </c>
      <c r="F238" s="5" t="str">
        <f>Calendario!$F238</f>
        <v/>
      </c>
      <c r="G238" s="5"/>
      <c r="H238" s="6" t="str">
        <f t="shared" si="1"/>
        <v>1</v>
      </c>
      <c r="I238" s="6"/>
      <c r="J238" s="10" t="str">
        <f>'traspo ñ alterar'!$B238</f>
        <v>2/10/26</v>
      </c>
      <c r="K238" s="6" t="str">
        <f t="shared" si="2"/>
        <v>Jejum 12h</v>
      </c>
      <c r="L238" s="6" t="str">
        <f t="shared" si="3"/>
        <v>Vigília</v>
      </c>
      <c r="M238" s="6" t="str">
        <f t="shared" si="4"/>
        <v>Sexta cabeceira</v>
      </c>
      <c r="N238" s="6" t="str">
        <f t="shared" si="5"/>
        <v>MOSTRAR</v>
      </c>
    </row>
    <row r="239" ht="15.75" customHeight="1">
      <c r="A239" s="1"/>
      <c r="B239" s="8" t="str">
        <f>Calendario!$B239</f>
        <v>2/10</v>
      </c>
      <c r="C239" s="3" t="str">
        <f>Calendario!$C239</f>
        <v>Friday</v>
      </c>
      <c r="D239" s="9" t="str">
        <f>Calendario!$D239</f>
        <v>Vigília</v>
      </c>
      <c r="E239" s="5" t="str">
        <f>Calendario!$E239</f>
        <v>Templo</v>
      </c>
      <c r="F239" s="5" t="str">
        <f>Calendario!$F239</f>
        <v>Intercessão</v>
      </c>
      <c r="G239" s="5"/>
      <c r="H239" s="6" t="str">
        <f t="shared" si="1"/>
        <v>2</v>
      </c>
      <c r="I239" s="6"/>
      <c r="J239" s="10" t="str">
        <f>'traspo ñ alterar'!$B239</f>
        <v>2/10/26</v>
      </c>
      <c r="K239" s="6" t="str">
        <f t="shared" si="2"/>
        <v/>
      </c>
      <c r="L239" s="6" t="str">
        <f t="shared" si="3"/>
        <v/>
      </c>
      <c r="M239" s="6" t="str">
        <f t="shared" si="4"/>
        <v/>
      </c>
      <c r="N239" s="6" t="str">
        <f t="shared" si="5"/>
        <v>OCULTAR</v>
      </c>
    </row>
    <row r="240" ht="15.75" customHeight="1">
      <c r="A240" s="1"/>
      <c r="B240" s="8" t="str">
        <f>Calendario!$B240</f>
        <v>2/10</v>
      </c>
      <c r="C240" s="3" t="str">
        <f>Calendario!$C240</f>
        <v>Friday</v>
      </c>
      <c r="D240" s="9" t="str">
        <f>Calendario!$D240</f>
        <v>Sexta cabeceira</v>
      </c>
      <c r="E240" s="5" t="str">
        <f>Calendario!$E240</f>
        <v>Quadra</v>
      </c>
      <c r="F240" s="5" t="str">
        <f>Calendario!$F240</f>
        <v>Inteensos</v>
      </c>
      <c r="G240" s="5"/>
      <c r="H240" s="6" t="str">
        <f t="shared" si="1"/>
        <v>3</v>
      </c>
      <c r="I240" s="6"/>
      <c r="J240" s="10" t="str">
        <f>'traspo ñ alterar'!$B240</f>
        <v>2/10/26</v>
      </c>
      <c r="K240" s="6" t="str">
        <f t="shared" si="2"/>
        <v/>
      </c>
      <c r="L240" s="6" t="str">
        <f t="shared" si="3"/>
        <v/>
      </c>
      <c r="M240" s="6" t="str">
        <f t="shared" si="4"/>
        <v/>
      </c>
      <c r="N240" s="6" t="str">
        <f t="shared" si="5"/>
        <v>OCULTAR</v>
      </c>
    </row>
    <row r="241" ht="15.75" customHeight="1">
      <c r="A241" s="1"/>
      <c r="B241" s="8" t="str">
        <f>Calendario!$B241</f>
        <v>3/10</v>
      </c>
      <c r="C241" s="3" t="str">
        <f>Calendario!$C241</f>
        <v>Saturday</v>
      </c>
      <c r="D241" s="9" t="str">
        <f>Calendario!$D241</f>
        <v>Jejum 12h</v>
      </c>
      <c r="E241" s="5" t="str">
        <f>Calendario!$E241</f>
        <v/>
      </c>
      <c r="F241" s="5" t="str">
        <f>Calendario!$F241</f>
        <v/>
      </c>
      <c r="G241" s="5"/>
      <c r="H241" s="6" t="str">
        <f t="shared" si="1"/>
        <v>1</v>
      </c>
      <c r="I241" s="6"/>
      <c r="J241" s="10" t="str">
        <f>'traspo ñ alterar'!$B241</f>
        <v>3/10/26</v>
      </c>
      <c r="K241" s="6" t="str">
        <f t="shared" si="2"/>
        <v>Jejum 12h</v>
      </c>
      <c r="L241" s="6" t="str">
        <f t="shared" si="3"/>
        <v>Alinhamento das Células</v>
      </c>
      <c r="M241" s="6" t="str">
        <f t="shared" si="4"/>
        <v/>
      </c>
      <c r="N241" s="6" t="str">
        <f t="shared" si="5"/>
        <v>MOSTRAR</v>
      </c>
    </row>
    <row r="242" ht="15.75" customHeight="1">
      <c r="A242" s="1"/>
      <c r="B242" s="8" t="str">
        <f>Calendario!$B242</f>
        <v>3/10</v>
      </c>
      <c r="C242" s="3" t="str">
        <f>Calendario!$C242</f>
        <v>Saturday</v>
      </c>
      <c r="D242" s="9" t="str">
        <f>Calendario!$D242</f>
        <v>Alinhamento das Células</v>
      </c>
      <c r="E242" s="5" t="str">
        <f>Calendario!$E242</f>
        <v>Templo</v>
      </c>
      <c r="F242" s="5" t="str">
        <f>Calendario!$F242</f>
        <v>Secretaria do discipulado</v>
      </c>
      <c r="G242" s="5"/>
      <c r="H242" s="6" t="str">
        <f t="shared" si="1"/>
        <v>2</v>
      </c>
      <c r="I242" s="6"/>
      <c r="J242" s="10" t="str">
        <f>'traspo ñ alterar'!$B242</f>
        <v>3/10/26</v>
      </c>
      <c r="K242" s="6" t="str">
        <f t="shared" si="2"/>
        <v/>
      </c>
      <c r="L242" s="6" t="str">
        <f t="shared" si="3"/>
        <v/>
      </c>
      <c r="M242" s="6" t="str">
        <f t="shared" si="4"/>
        <v/>
      </c>
      <c r="N242" s="6" t="str">
        <f t="shared" si="5"/>
        <v>OCULTAR</v>
      </c>
    </row>
    <row r="243" ht="15.75" customHeight="1">
      <c r="A243" s="1"/>
      <c r="B243" s="8" t="str">
        <f>Calendario!$B243</f>
        <v>4/10</v>
      </c>
      <c r="C243" s="3" t="str">
        <f>Calendario!$C243</f>
        <v>Sunday</v>
      </c>
      <c r="D243" s="9" t="str">
        <f>Calendario!$D243</f>
        <v>Jejum 18h</v>
      </c>
      <c r="E243" s="5" t="str">
        <f>Calendario!$E243</f>
        <v/>
      </c>
      <c r="F243" s="5" t="str">
        <f>Calendario!$F243</f>
        <v/>
      </c>
      <c r="G243" s="5"/>
      <c r="H243" s="6" t="str">
        <f t="shared" si="1"/>
        <v>1</v>
      </c>
      <c r="I243" s="6"/>
      <c r="J243" s="10" t="str">
        <f>'traspo ñ alterar'!$B243</f>
        <v>4/10/26</v>
      </c>
      <c r="K243" s="6" t="str">
        <f t="shared" si="2"/>
        <v>Jejum 18h</v>
      </c>
      <c r="L243" s="6" t="str">
        <f t="shared" si="3"/>
        <v>Culto em Rio Brilhante</v>
      </c>
      <c r="M243" s="6" t="str">
        <f t="shared" si="4"/>
        <v/>
      </c>
      <c r="N243" s="6" t="str">
        <f t="shared" si="5"/>
        <v>MOSTRAR</v>
      </c>
    </row>
    <row r="244" ht="15.75" customHeight="1">
      <c r="A244" s="1"/>
      <c r="B244" s="8" t="str">
        <f>Calendario!$B244</f>
        <v>4/10</v>
      </c>
      <c r="C244" s="3" t="str">
        <f>Calendario!$C244</f>
        <v>Sunday</v>
      </c>
      <c r="D244" s="9" t="str">
        <f>Calendario!$D244</f>
        <v>Culto em Rio Brilhante</v>
      </c>
      <c r="E244" s="5" t="str">
        <f>Calendario!$E244</f>
        <v/>
      </c>
      <c r="F244" s="5" t="str">
        <f>Calendario!$F244</f>
        <v/>
      </c>
      <c r="G244" s="5"/>
      <c r="H244" s="6" t="str">
        <f t="shared" si="1"/>
        <v>2</v>
      </c>
      <c r="I244" s="6"/>
      <c r="J244" s="10" t="str">
        <f>'traspo ñ alterar'!$B244</f>
        <v>4/10/26</v>
      </c>
      <c r="K244" s="6" t="str">
        <f t="shared" si="2"/>
        <v/>
      </c>
      <c r="L244" s="6" t="str">
        <f t="shared" si="3"/>
        <v/>
      </c>
      <c r="M244" s="6" t="str">
        <f t="shared" si="4"/>
        <v/>
      </c>
      <c r="N244" s="6" t="str">
        <f t="shared" si="5"/>
        <v>OCULTAR</v>
      </c>
    </row>
    <row r="245" ht="15.75" customHeight="1">
      <c r="A245" s="1"/>
      <c r="B245" s="8" t="str">
        <f>Calendario!$B245</f>
        <v>5/10</v>
      </c>
      <c r="C245" s="3" t="str">
        <f>Calendario!$C245</f>
        <v>Monday</v>
      </c>
      <c r="D245" s="9" t="str">
        <f>Calendario!$D245</f>
        <v>Jejum 18h</v>
      </c>
      <c r="E245" s="5" t="str">
        <f>Calendario!$E245</f>
        <v/>
      </c>
      <c r="F245" s="5" t="str">
        <f>Calendario!$F245</f>
        <v/>
      </c>
      <c r="G245" s="5"/>
      <c r="H245" s="6" t="str">
        <f t="shared" si="1"/>
        <v>1</v>
      </c>
      <c r="I245" s="6"/>
      <c r="J245" s="10" t="str">
        <f>'traspo ñ alterar'!$B245</f>
        <v>5/10/26</v>
      </c>
      <c r="K245" s="6" t="str">
        <f t="shared" si="2"/>
        <v>Jejum 18h</v>
      </c>
      <c r="L245" s="6" t="str">
        <f t="shared" si="3"/>
        <v/>
      </c>
      <c r="M245" s="6" t="str">
        <f t="shared" si="4"/>
        <v/>
      </c>
      <c r="N245" s="6" t="str">
        <f t="shared" si="5"/>
        <v>MOSTRAR</v>
      </c>
    </row>
    <row r="246" ht="15.75" customHeight="1">
      <c r="A246" s="1"/>
      <c r="B246" s="8" t="str">
        <f>Calendario!$B246</f>
        <v>6/10</v>
      </c>
      <c r="C246" s="3" t="str">
        <f>Calendario!$C246</f>
        <v>Tuesday</v>
      </c>
      <c r="D246" s="9" t="str">
        <f>Calendario!$D246</f>
        <v>Jejum 18h</v>
      </c>
      <c r="E246" s="5" t="str">
        <f>Calendario!$E246</f>
        <v/>
      </c>
      <c r="F246" s="5" t="str">
        <f>Calendario!$F246</f>
        <v/>
      </c>
      <c r="G246" s="5"/>
      <c r="H246" s="6" t="str">
        <f t="shared" si="1"/>
        <v>1</v>
      </c>
      <c r="I246" s="6"/>
      <c r="J246" s="10" t="str">
        <f>'traspo ñ alterar'!$B246</f>
        <v>6/10/26</v>
      </c>
      <c r="K246" s="6" t="str">
        <f t="shared" si="2"/>
        <v>Jejum 18h</v>
      </c>
      <c r="L246" s="6" t="str">
        <f t="shared" si="3"/>
        <v/>
      </c>
      <c r="M246" s="6" t="str">
        <f t="shared" si="4"/>
        <v/>
      </c>
      <c r="N246" s="6" t="str">
        <f t="shared" si="5"/>
        <v>MOSTRAR</v>
      </c>
    </row>
    <row r="247" ht="15.75" customHeight="1">
      <c r="A247" s="1"/>
      <c r="B247" s="8" t="str">
        <f>Calendario!$B247</f>
        <v>7/10</v>
      </c>
      <c r="C247" s="3" t="str">
        <f>Calendario!$C247</f>
        <v>Wednesday</v>
      </c>
      <c r="D247" s="9" t="str">
        <f>Calendario!$D247</f>
        <v>Jejum 18h</v>
      </c>
      <c r="E247" s="5" t="str">
        <f>Calendario!$E247</f>
        <v/>
      </c>
      <c r="F247" s="5" t="str">
        <f>Calendario!$F247</f>
        <v/>
      </c>
      <c r="G247" s="5"/>
      <c r="H247" s="6" t="str">
        <f t="shared" si="1"/>
        <v>1</v>
      </c>
      <c r="I247" s="6"/>
      <c r="J247" s="10" t="str">
        <f>'traspo ñ alterar'!$B247</f>
        <v>7/10/26</v>
      </c>
      <c r="K247" s="6" t="str">
        <f t="shared" si="2"/>
        <v>Jejum 18h</v>
      </c>
      <c r="L247" s="6" t="str">
        <f t="shared" si="3"/>
        <v>Célula</v>
      </c>
      <c r="M247" s="6" t="str">
        <f t="shared" si="4"/>
        <v/>
      </c>
      <c r="N247" s="6" t="str">
        <f t="shared" si="5"/>
        <v>MOSTRAR</v>
      </c>
    </row>
    <row r="248" ht="15.75" customHeight="1">
      <c r="A248" s="1"/>
      <c r="B248" s="8" t="str">
        <f>Calendario!$B248</f>
        <v>7/10</v>
      </c>
      <c r="C248" s="3" t="str">
        <f>Calendario!$C248</f>
        <v>Wednesday</v>
      </c>
      <c r="D248" s="9" t="str">
        <f>Calendario!$D248</f>
        <v>Célula</v>
      </c>
      <c r="E248" s="5" t="str">
        <f>Calendario!$E248</f>
        <v/>
      </c>
      <c r="F248" s="5" t="str">
        <f>Calendario!$F248</f>
        <v/>
      </c>
      <c r="G248" s="5"/>
      <c r="H248" s="6" t="str">
        <f t="shared" si="1"/>
        <v>2</v>
      </c>
      <c r="I248" s="6"/>
      <c r="J248" s="10" t="str">
        <f>'traspo ñ alterar'!$B248</f>
        <v>7/10/26</v>
      </c>
      <c r="K248" s="6" t="str">
        <f t="shared" si="2"/>
        <v/>
      </c>
      <c r="L248" s="6" t="str">
        <f t="shared" si="3"/>
        <v/>
      </c>
      <c r="M248" s="6" t="str">
        <f t="shared" si="4"/>
        <v/>
      </c>
      <c r="N248" s="6" t="str">
        <f t="shared" si="5"/>
        <v>OCULTAR</v>
      </c>
    </row>
    <row r="249" ht="15.75" customHeight="1">
      <c r="A249" s="1"/>
      <c r="B249" s="8" t="str">
        <f>Calendario!$B249</f>
        <v>8/10</v>
      </c>
      <c r="C249" s="3" t="str">
        <f>Calendario!$C249</f>
        <v>Thursday</v>
      </c>
      <c r="D249" s="9" t="str">
        <f>Calendario!$D249</f>
        <v>Jejum 18h</v>
      </c>
      <c r="E249" s="5" t="str">
        <f>Calendario!$E249</f>
        <v/>
      </c>
      <c r="F249" s="5" t="str">
        <f>Calendario!$F249</f>
        <v/>
      </c>
      <c r="G249" s="5"/>
      <c r="H249" s="6" t="str">
        <f t="shared" si="1"/>
        <v>1</v>
      </c>
      <c r="I249" s="6"/>
      <c r="J249" s="10" t="str">
        <f>'traspo ñ alterar'!$B249</f>
        <v>8/10/26</v>
      </c>
      <c r="K249" s="6" t="str">
        <f t="shared" si="2"/>
        <v>Jejum 18h</v>
      </c>
      <c r="L249" s="2" t="str">
        <f t="shared" si="3"/>
        <v>Encontro Mensal de Mulheres</v>
      </c>
      <c r="M249" s="6" t="str">
        <f t="shared" si="4"/>
        <v/>
      </c>
      <c r="N249" s="6" t="str">
        <f t="shared" si="5"/>
        <v>MOSTRAR</v>
      </c>
    </row>
    <row r="250" ht="15.75" customHeight="1">
      <c r="A250" s="1"/>
      <c r="B250" s="8" t="str">
        <f>Calendario!$B250</f>
        <v>8/10</v>
      </c>
      <c r="C250" s="8" t="str">
        <f>Calendario!$C250</f>
        <v>Thursday</v>
      </c>
      <c r="D250" s="8" t="str">
        <f>Calendario!$D250</f>
        <v>Encontro Mensal de Mulheres</v>
      </c>
      <c r="E250" s="8" t="str">
        <f>Calendario!$E250</f>
        <v>/ Beleza, Saude</v>
      </c>
      <c r="F250" s="8" t="str">
        <f>Calendario!$F250</f>
        <v>SMM</v>
      </c>
      <c r="G250" s="5"/>
      <c r="H250" s="6" t="str">
        <f t="shared" si="1"/>
        <v>2</v>
      </c>
      <c r="I250" s="6"/>
      <c r="J250" s="10" t="str">
        <f>'traspo ñ alterar'!$B250</f>
        <v>8/10/26</v>
      </c>
      <c r="K250" s="6" t="str">
        <f t="shared" si="2"/>
        <v/>
      </c>
      <c r="L250" s="6" t="str">
        <f t="shared" si="3"/>
        <v/>
      </c>
      <c r="M250" s="6" t="str">
        <f t="shared" si="4"/>
        <v/>
      </c>
      <c r="N250" s="6" t="str">
        <f t="shared" si="5"/>
        <v>OCULTAR</v>
      </c>
    </row>
    <row r="251" ht="15.75" customHeight="1">
      <c r="A251" s="1"/>
      <c r="B251" s="8" t="str">
        <f>Calendario!$B251</f>
        <v>9/10</v>
      </c>
      <c r="C251" s="8" t="str">
        <f>Calendario!$C251</f>
        <v>Friday</v>
      </c>
      <c r="D251" s="8" t="str">
        <f>Calendario!$D251</f>
        <v>Jejum 18h</v>
      </c>
      <c r="E251" s="8" t="str">
        <f>Calendario!$E251</f>
        <v/>
      </c>
      <c r="F251" s="8" t="str">
        <f>Calendario!$F251</f>
        <v/>
      </c>
      <c r="G251" s="5"/>
      <c r="H251" s="6" t="str">
        <f t="shared" si="1"/>
        <v>1</v>
      </c>
      <c r="I251" s="6"/>
      <c r="J251" s="10" t="str">
        <f>'traspo ñ alterar'!$B251</f>
        <v>9/10/26</v>
      </c>
      <c r="K251" s="2" t="str">
        <f t="shared" si="2"/>
        <v>Jejum 18h</v>
      </c>
      <c r="L251" s="2" t="str">
        <f t="shared" si="3"/>
        <v>Sexta cabeceira</v>
      </c>
      <c r="M251" s="6" t="str">
        <f t="shared" si="4"/>
        <v/>
      </c>
      <c r="N251" s="6" t="str">
        <f t="shared" si="5"/>
        <v>MOSTRAR</v>
      </c>
    </row>
    <row r="252" ht="15.75" customHeight="1">
      <c r="A252" s="1"/>
      <c r="B252" s="8" t="str">
        <f>Calendario!$B252</f>
        <v>9/10</v>
      </c>
      <c r="C252" s="8" t="str">
        <f>Calendario!$C252</f>
        <v>Friday</v>
      </c>
      <c r="D252" s="8" t="str">
        <f>Calendario!$D252</f>
        <v>Sexta cabeceira</v>
      </c>
      <c r="E252" s="8" t="str">
        <f>Calendario!$E252</f>
        <v>Quadra</v>
      </c>
      <c r="F252" s="8" t="str">
        <f>Calendario!$F252</f>
        <v>Inteensos</v>
      </c>
      <c r="G252" s="5"/>
      <c r="H252" s="6" t="str">
        <f t="shared" si="1"/>
        <v>2</v>
      </c>
      <c r="I252" s="6"/>
      <c r="J252" s="10" t="str">
        <f>'traspo ñ alterar'!$B252</f>
        <v>9/10/26</v>
      </c>
      <c r="K252" s="6" t="str">
        <f t="shared" si="2"/>
        <v/>
      </c>
      <c r="L252" s="6" t="str">
        <f t="shared" si="3"/>
        <v/>
      </c>
      <c r="M252" s="6" t="str">
        <f t="shared" si="4"/>
        <v/>
      </c>
      <c r="N252" s="6" t="str">
        <f t="shared" si="5"/>
        <v>OCULTAR</v>
      </c>
    </row>
    <row r="253" ht="15.75" customHeight="1">
      <c r="A253" s="1"/>
      <c r="B253" s="8" t="str">
        <f>Calendario!$B253</f>
        <v>10/10</v>
      </c>
      <c r="C253" s="8" t="str">
        <f>Calendario!$C253</f>
        <v>Saturday</v>
      </c>
      <c r="D253" s="8" t="str">
        <f>Calendario!$D253</f>
        <v>Jejum 18h</v>
      </c>
      <c r="E253" s="8" t="str">
        <f>Calendario!$E253</f>
        <v/>
      </c>
      <c r="F253" s="8" t="str">
        <f>Calendario!$F253</f>
        <v/>
      </c>
      <c r="G253" s="5"/>
      <c r="H253" s="6" t="str">
        <f t="shared" si="1"/>
        <v>1</v>
      </c>
      <c r="I253" s="6"/>
      <c r="J253" s="10" t="str">
        <f>'traspo ñ alterar'!$B253</f>
        <v>10/10/26</v>
      </c>
      <c r="K253" s="2" t="str">
        <f t="shared" si="2"/>
        <v>Jejum 18h</v>
      </c>
      <c r="L253" s="2" t="str">
        <f t="shared" si="3"/>
        <v>Relogio de oração</v>
      </c>
      <c r="M253" s="2" t="str">
        <f t="shared" si="4"/>
        <v>Inteensos</v>
      </c>
      <c r="N253" s="6" t="str">
        <f t="shared" si="5"/>
        <v>MOSTRAR</v>
      </c>
    </row>
    <row r="254" ht="15.75" customHeight="1">
      <c r="A254" s="1"/>
      <c r="B254" s="8" t="str">
        <f>Calendario!$B254</f>
        <v>10/10</v>
      </c>
      <c r="C254" s="8" t="str">
        <f>Calendario!$C254</f>
        <v>Saturday</v>
      </c>
      <c r="D254" s="8" t="str">
        <f>Calendario!$D254</f>
        <v>Relogio de oração</v>
      </c>
      <c r="E254" s="8" t="str">
        <f>Calendario!$E254</f>
        <v/>
      </c>
      <c r="F254" s="8" t="str">
        <f>Calendario!$F254</f>
        <v>Intercessão</v>
      </c>
      <c r="G254" s="5"/>
      <c r="H254" s="6" t="str">
        <f t="shared" si="1"/>
        <v>2</v>
      </c>
      <c r="I254" s="6"/>
      <c r="J254" s="10" t="str">
        <f>'traspo ñ alterar'!$B254</f>
        <v>10/10/26</v>
      </c>
      <c r="K254" s="6" t="str">
        <f t="shared" si="2"/>
        <v/>
      </c>
      <c r="L254" s="6" t="str">
        <f t="shared" si="3"/>
        <v/>
      </c>
      <c r="M254" s="6" t="str">
        <f t="shared" si="4"/>
        <v/>
      </c>
      <c r="N254" s="6" t="str">
        <f t="shared" si="5"/>
        <v>OCULTAR</v>
      </c>
    </row>
    <row r="255" ht="15.75" customHeight="1">
      <c r="A255" s="1"/>
      <c r="B255" s="8" t="str">
        <f>Calendario!$B255</f>
        <v>10/10</v>
      </c>
      <c r="C255" s="8" t="str">
        <f>Calendario!$C255</f>
        <v>Saturday</v>
      </c>
      <c r="D255" s="8" t="str">
        <f>Calendario!$D255</f>
        <v>Inteensos</v>
      </c>
      <c r="E255" s="8" t="str">
        <f>Calendario!$E255</f>
        <v>Templo</v>
      </c>
      <c r="F255" s="8" t="str">
        <f>Calendario!$F255</f>
        <v>Inteensos</v>
      </c>
      <c r="G255" s="5"/>
      <c r="H255" s="6" t="str">
        <f t="shared" si="1"/>
        <v>3</v>
      </c>
      <c r="I255" s="6"/>
      <c r="J255" s="10" t="str">
        <f>'traspo ñ alterar'!$B255</f>
        <v>10/10/26</v>
      </c>
      <c r="K255" s="6" t="str">
        <f t="shared" si="2"/>
        <v/>
      </c>
      <c r="L255" s="6" t="str">
        <f t="shared" si="3"/>
        <v/>
      </c>
      <c r="M255" s="6" t="str">
        <f t="shared" si="4"/>
        <v/>
      </c>
      <c r="N255" s="6" t="str">
        <f t="shared" si="5"/>
        <v>OCULTAR</v>
      </c>
    </row>
    <row r="256" ht="15.75" customHeight="1">
      <c r="A256" s="1"/>
      <c r="B256" s="8" t="str">
        <f>Calendario!$B256</f>
        <v>11/10</v>
      </c>
      <c r="C256" s="8" t="str">
        <f>Calendario!$C256</f>
        <v>Sunday</v>
      </c>
      <c r="D256" s="8" t="str">
        <f>Calendario!$D256</f>
        <v>Dia das Crianças/EBD</v>
      </c>
      <c r="E256" s="8" t="str">
        <f>Calendario!$E256</f>
        <v>Templo</v>
      </c>
      <c r="F256" s="8" t="str">
        <f>Calendario!$F256</f>
        <v>EBD</v>
      </c>
      <c r="G256" s="5"/>
      <c r="H256" s="6" t="str">
        <f t="shared" si="1"/>
        <v>1</v>
      </c>
      <c r="I256" s="6"/>
      <c r="J256" s="10" t="str">
        <f>'traspo ñ alterar'!$B256</f>
        <v>11/10/26</v>
      </c>
      <c r="K256" s="2" t="str">
        <f t="shared" si="2"/>
        <v>Dia das Crianças/EBD</v>
      </c>
      <c r="L256" s="2" t="str">
        <f t="shared" si="3"/>
        <v>Cantina prol GE</v>
      </c>
      <c r="M256" s="6" t="str">
        <f t="shared" si="4"/>
        <v/>
      </c>
      <c r="N256" s="6" t="str">
        <f t="shared" si="5"/>
        <v>MOSTRAR</v>
      </c>
    </row>
    <row r="257" ht="15.75" customHeight="1">
      <c r="A257" s="1"/>
      <c r="B257" s="8" t="str">
        <f>Calendario!$B257</f>
        <v>11/10</v>
      </c>
      <c r="C257" s="8" t="str">
        <f>Calendario!$C257</f>
        <v>Sunday</v>
      </c>
      <c r="D257" s="8" t="str">
        <f>Calendario!$D257</f>
        <v>Cantina prol GE</v>
      </c>
      <c r="E257" s="8" t="str">
        <f>Calendario!$E257</f>
        <v>A definir</v>
      </c>
      <c r="F257" s="8" t="str">
        <f>Calendario!$F257</f>
        <v>Inteensos</v>
      </c>
      <c r="G257" s="5"/>
      <c r="H257" s="6" t="str">
        <f t="shared" si="1"/>
        <v>2</v>
      </c>
      <c r="I257" s="6"/>
      <c r="J257" s="10" t="str">
        <f>'traspo ñ alterar'!$B257</f>
        <v>11/10/26</v>
      </c>
      <c r="K257" s="6" t="str">
        <f t="shared" si="2"/>
        <v/>
      </c>
      <c r="L257" s="6" t="str">
        <f t="shared" si="3"/>
        <v/>
      </c>
      <c r="M257" s="6" t="str">
        <f t="shared" si="4"/>
        <v/>
      </c>
      <c r="N257" s="6" t="str">
        <f t="shared" si="5"/>
        <v>OCULTAR</v>
      </c>
    </row>
    <row r="258" ht="15.75" customHeight="1">
      <c r="A258" s="1"/>
      <c r="B258" s="8" t="str">
        <f>Calendario!$B258</f>
        <v>12/10</v>
      </c>
      <c r="C258" s="8" t="str">
        <f>Calendario!$C258</f>
        <v>Monday</v>
      </c>
      <c r="D258" s="8" t="str">
        <f>Calendario!$D258</f>
        <v>Pescaria</v>
      </c>
      <c r="E258" s="8" t="str">
        <f>Calendario!$E258</f>
        <v>Fora das dependências da igreja</v>
      </c>
      <c r="F258" s="8" t="str">
        <f>Calendario!$F258</f>
        <v>SMH</v>
      </c>
      <c r="G258" s="5"/>
      <c r="H258" s="6" t="str">
        <f t="shared" si="1"/>
        <v>1</v>
      </c>
      <c r="I258" s="6"/>
      <c r="J258" s="10" t="str">
        <f>'traspo ñ alterar'!$B258</f>
        <v>12/10/26</v>
      </c>
      <c r="K258" s="2" t="str">
        <f t="shared" si="2"/>
        <v>Pescaria</v>
      </c>
      <c r="L258" s="6" t="str">
        <f t="shared" si="3"/>
        <v/>
      </c>
      <c r="M258" s="6" t="str">
        <f t="shared" si="4"/>
        <v/>
      </c>
      <c r="N258" s="6" t="str">
        <f t="shared" si="5"/>
        <v>MOSTRAR</v>
      </c>
    </row>
    <row r="259" ht="15.75" customHeight="1">
      <c r="A259" s="1"/>
      <c r="B259" s="8" t="str">
        <f>Calendario!$B259</f>
        <v>14/10</v>
      </c>
      <c r="C259" s="8" t="str">
        <f>Calendario!$C259</f>
        <v>Wednesday</v>
      </c>
      <c r="D259" s="8" t="str">
        <f>Calendario!$D259</f>
        <v>Célula</v>
      </c>
      <c r="E259" s="8" t="str">
        <f>Calendario!$E259</f>
        <v/>
      </c>
      <c r="F259" s="8" t="str">
        <f>Calendario!$F259</f>
        <v/>
      </c>
      <c r="G259" s="5"/>
      <c r="H259" s="6" t="str">
        <f t="shared" si="1"/>
        <v>1</v>
      </c>
      <c r="I259" s="6"/>
      <c r="J259" s="10" t="str">
        <f>'traspo ñ alterar'!$B259</f>
        <v>14/10/26</v>
      </c>
      <c r="K259" s="2" t="str">
        <f t="shared" si="2"/>
        <v>Célula</v>
      </c>
      <c r="L259" s="6" t="str">
        <f t="shared" si="3"/>
        <v/>
      </c>
      <c r="M259" s="6" t="str">
        <f t="shared" si="4"/>
        <v/>
      </c>
      <c r="N259" s="6" t="str">
        <f t="shared" si="5"/>
        <v>MOSTRAR</v>
      </c>
    </row>
    <row r="260" ht="15.75" customHeight="1">
      <c r="A260" s="1"/>
      <c r="B260" s="8" t="str">
        <f>Calendario!$B260</f>
        <v>15/10</v>
      </c>
      <c r="C260" s="8" t="str">
        <f>Calendario!$C260</f>
        <v>Thursday</v>
      </c>
      <c r="D260" s="8" t="str">
        <f>Calendario!$D260</f>
        <v>Dia dos professores</v>
      </c>
      <c r="E260" s="8" t="str">
        <f>Calendario!$E260</f>
        <v>Metokids</v>
      </c>
      <c r="F260" s="8" t="str">
        <f>Calendario!$F260</f>
        <v>SMH</v>
      </c>
      <c r="G260" s="5"/>
      <c r="H260" s="6" t="str">
        <f t="shared" si="1"/>
        <v>1</v>
      </c>
      <c r="I260" s="6"/>
      <c r="J260" s="10" t="str">
        <f>'traspo ñ alterar'!$B260</f>
        <v>15/10/26</v>
      </c>
      <c r="K260" s="2" t="str">
        <f t="shared" si="2"/>
        <v>Dia dos professores</v>
      </c>
      <c r="L260" s="2" t="str">
        <f t="shared" si="3"/>
        <v>Culto de homens</v>
      </c>
      <c r="M260" s="6" t="str">
        <f t="shared" si="4"/>
        <v/>
      </c>
      <c r="N260" s="6" t="str">
        <f t="shared" si="5"/>
        <v>MOSTRAR</v>
      </c>
    </row>
    <row r="261" ht="15.75" customHeight="1">
      <c r="A261" s="1"/>
      <c r="B261" s="8" t="str">
        <f>Calendario!$B261</f>
        <v>15/10</v>
      </c>
      <c r="C261" s="8" t="str">
        <f>Calendario!$C261</f>
        <v>Thursday</v>
      </c>
      <c r="D261" s="8" t="str">
        <f>Calendario!$D261</f>
        <v>Culto de homens</v>
      </c>
      <c r="E261" s="8" t="str">
        <f>Calendario!$E261</f>
        <v>A definir</v>
      </c>
      <c r="F261" s="8" t="str">
        <f>Calendario!$F261</f>
        <v>EBD</v>
      </c>
      <c r="G261" s="5"/>
      <c r="H261" s="6" t="str">
        <f t="shared" si="1"/>
        <v>2</v>
      </c>
      <c r="I261" s="6"/>
      <c r="J261" s="10" t="str">
        <f>'traspo ñ alterar'!$B261</f>
        <v>15/10/26</v>
      </c>
      <c r="K261" s="6" t="str">
        <f t="shared" si="2"/>
        <v/>
      </c>
      <c r="L261" s="6" t="str">
        <f t="shared" si="3"/>
        <v/>
      </c>
      <c r="M261" s="6" t="str">
        <f t="shared" si="4"/>
        <v/>
      </c>
      <c r="N261" s="6" t="str">
        <f t="shared" si="5"/>
        <v>OCULTAR</v>
      </c>
    </row>
    <row r="262" ht="15.75" customHeight="1">
      <c r="A262" s="1"/>
      <c r="B262" s="8" t="str">
        <f>Calendario!$B262</f>
        <v>16/10</v>
      </c>
      <c r="C262" s="8" t="str">
        <f>Calendario!$C262</f>
        <v>Friday</v>
      </c>
      <c r="D262" s="8" t="str">
        <f>Calendario!$D262</f>
        <v>Reencontro com Deus</v>
      </c>
      <c r="E262" s="8" t="str">
        <f>Calendario!$E262</f>
        <v/>
      </c>
      <c r="F262" s="8" t="str">
        <f>Calendario!$F262</f>
        <v>Intercessão</v>
      </c>
      <c r="G262" s="5"/>
      <c r="H262" s="6" t="str">
        <f t="shared" si="1"/>
        <v>1</v>
      </c>
      <c r="I262" s="6"/>
      <c r="J262" s="10" t="str">
        <f>'traspo ñ alterar'!$B262</f>
        <v>16/10/26</v>
      </c>
      <c r="K262" s="2" t="str">
        <f t="shared" si="2"/>
        <v>Reencontro com Deus</v>
      </c>
      <c r="L262" s="2" t="str">
        <f t="shared" si="3"/>
        <v>Sexta cabeceira</v>
      </c>
      <c r="M262" s="6" t="str">
        <f t="shared" si="4"/>
        <v/>
      </c>
      <c r="N262" s="6" t="str">
        <f t="shared" si="5"/>
        <v>MOSTRAR</v>
      </c>
    </row>
    <row r="263" ht="15.75" customHeight="1">
      <c r="A263" s="1"/>
      <c r="B263" s="8" t="str">
        <f>Calendario!$B263</f>
        <v>16/10</v>
      </c>
      <c r="C263" s="8" t="str">
        <f>Calendario!$C263</f>
        <v>Friday</v>
      </c>
      <c r="D263" s="8" t="str">
        <f>Calendario!$D263</f>
        <v>Sexta cabeceira</v>
      </c>
      <c r="E263" s="8" t="str">
        <f>Calendario!$E263</f>
        <v>Quadra</v>
      </c>
      <c r="F263" s="8" t="str">
        <f>Calendario!$F263</f>
        <v>Inteensos</v>
      </c>
      <c r="G263" s="5"/>
      <c r="H263" s="6" t="str">
        <f t="shared" si="1"/>
        <v>2</v>
      </c>
      <c r="I263" s="6"/>
      <c r="J263" s="10" t="str">
        <f>'traspo ñ alterar'!$B263</f>
        <v>16/10/26</v>
      </c>
      <c r="K263" s="6" t="str">
        <f t="shared" si="2"/>
        <v/>
      </c>
      <c r="L263" s="6" t="str">
        <f t="shared" si="3"/>
        <v/>
      </c>
      <c r="M263" s="6" t="str">
        <f t="shared" si="4"/>
        <v/>
      </c>
      <c r="N263" s="6" t="str">
        <f t="shared" si="5"/>
        <v>OCULTAR</v>
      </c>
    </row>
    <row r="264" ht="15.75" customHeight="1">
      <c r="A264" s="1"/>
      <c r="B264" s="8" t="str">
        <f>Calendario!$B264</f>
        <v>17/10</v>
      </c>
      <c r="C264" s="8" t="str">
        <f>Calendario!$C264</f>
        <v>Saturday</v>
      </c>
      <c r="D264" s="8" t="str">
        <f>Calendario!$D264</f>
        <v>Reencontro com Deus </v>
      </c>
      <c r="E264" s="8" t="str">
        <f>Calendario!$E264</f>
        <v/>
      </c>
      <c r="F264" s="8" t="str">
        <f>Calendario!$F264</f>
        <v/>
      </c>
      <c r="G264" s="5"/>
      <c r="H264" s="6" t="str">
        <f t="shared" si="1"/>
        <v>1</v>
      </c>
      <c r="I264" s="6"/>
      <c r="J264" s="10" t="str">
        <f>'traspo ñ alterar'!$B264</f>
        <v>17/10/26</v>
      </c>
      <c r="K264" s="2" t="str">
        <f t="shared" si="2"/>
        <v>Reencontro com Deus </v>
      </c>
      <c r="L264" s="6" t="str">
        <f t="shared" si="3"/>
        <v/>
      </c>
      <c r="M264" s="6" t="str">
        <f t="shared" si="4"/>
        <v/>
      </c>
      <c r="N264" s="6" t="str">
        <f t="shared" si="5"/>
        <v>MOSTRAR</v>
      </c>
    </row>
    <row r="265" ht="15.75" customHeight="1">
      <c r="A265" s="1"/>
      <c r="B265" s="8" t="str">
        <f>Calendario!$B265</f>
        <v>18/10</v>
      </c>
      <c r="C265" s="8" t="str">
        <f>Calendario!$C265</f>
        <v>Sunday</v>
      </c>
      <c r="D265" s="8" t="str">
        <f>Calendario!$D265</f>
        <v>Reencontro com Deus </v>
      </c>
      <c r="E265" s="8" t="str">
        <f>Calendario!$E265</f>
        <v/>
      </c>
      <c r="F265" s="8" t="str">
        <f>Calendario!$F265</f>
        <v/>
      </c>
      <c r="G265" s="5"/>
      <c r="H265" s="6" t="str">
        <f t="shared" si="1"/>
        <v>1</v>
      </c>
      <c r="I265" s="6"/>
      <c r="J265" s="10" t="str">
        <f>'traspo ñ alterar'!$B265</f>
        <v>18/10/26</v>
      </c>
      <c r="K265" s="2" t="str">
        <f t="shared" si="2"/>
        <v>Reencontro com Deus </v>
      </c>
      <c r="L265" s="2" t="str">
        <f t="shared" si="3"/>
        <v>Culto do Bebê</v>
      </c>
      <c r="M265" s="6" t="str">
        <f t="shared" si="4"/>
        <v/>
      </c>
      <c r="N265" s="6" t="str">
        <f t="shared" si="5"/>
        <v>MOSTRAR</v>
      </c>
    </row>
    <row r="266" ht="15.75" customHeight="1">
      <c r="A266" s="1"/>
      <c r="B266" s="8" t="str">
        <f>Calendario!$B266</f>
        <v>18/10</v>
      </c>
      <c r="C266" s="8" t="str">
        <f>Calendario!$C266</f>
        <v>Sunday</v>
      </c>
      <c r="D266" s="8" t="str">
        <f>Calendario!$D266</f>
        <v>Culto do Bebê</v>
      </c>
      <c r="E266" s="8" t="str">
        <f>Calendario!$E266</f>
        <v/>
      </c>
      <c r="F266" s="8" t="str">
        <f>Calendario!$F266</f>
        <v>SMM</v>
      </c>
      <c r="G266" s="5"/>
      <c r="H266" s="6" t="str">
        <f t="shared" si="1"/>
        <v>2</v>
      </c>
      <c r="I266" s="6"/>
      <c r="J266" s="10" t="str">
        <f>'traspo ñ alterar'!$B266</f>
        <v>18/10/26</v>
      </c>
      <c r="K266" s="6" t="str">
        <f t="shared" si="2"/>
        <v/>
      </c>
      <c r="L266" s="6" t="str">
        <f t="shared" si="3"/>
        <v/>
      </c>
      <c r="M266" s="6" t="str">
        <f t="shared" si="4"/>
        <v/>
      </c>
      <c r="N266" s="6" t="str">
        <f t="shared" si="5"/>
        <v>OCULTAR</v>
      </c>
    </row>
    <row r="267" ht="15.75" customHeight="1">
      <c r="A267" s="1"/>
      <c r="B267" s="8" t="str">
        <f>Calendario!$B267</f>
        <v>21/10</v>
      </c>
      <c r="C267" s="8" t="str">
        <f>Calendario!$C267</f>
        <v>Wednesday</v>
      </c>
      <c r="D267" s="8" t="str">
        <f>Calendario!$D267</f>
        <v>Célula</v>
      </c>
      <c r="E267" s="8" t="str">
        <f>Calendario!$E267</f>
        <v/>
      </c>
      <c r="F267" s="8" t="str">
        <f>Calendario!$F267</f>
        <v/>
      </c>
      <c r="G267" s="5"/>
      <c r="H267" s="6" t="str">
        <f t="shared" si="1"/>
        <v>1</v>
      </c>
      <c r="I267" s="6"/>
      <c r="J267" s="10" t="str">
        <f>'traspo ñ alterar'!$B267</f>
        <v>21/10/26</v>
      </c>
      <c r="K267" s="2" t="str">
        <f t="shared" si="2"/>
        <v>Célula</v>
      </c>
      <c r="L267" s="6" t="str">
        <f t="shared" si="3"/>
        <v/>
      </c>
      <c r="M267" s="6" t="str">
        <f t="shared" si="4"/>
        <v/>
      </c>
      <c r="N267" s="6" t="str">
        <f t="shared" si="5"/>
        <v>MOSTRAR</v>
      </c>
    </row>
    <row r="268" ht="15.75" customHeight="1">
      <c r="A268" s="1"/>
      <c r="B268" s="8" t="str">
        <f>Calendario!$B268</f>
        <v>22/10</v>
      </c>
      <c r="C268" s="8" t="str">
        <f>Calendario!$C268</f>
        <v>Thursday</v>
      </c>
      <c r="D268" s="8" t="str">
        <f>Calendario!$D268</f>
        <v>Futebol </v>
      </c>
      <c r="E268" s="8" t="str">
        <f>Calendario!$E268</f>
        <v>Fora das dependências da igreja</v>
      </c>
      <c r="F268" s="8" t="str">
        <f>Calendario!$F268</f>
        <v>SMH</v>
      </c>
      <c r="G268" s="5"/>
      <c r="H268" s="6" t="str">
        <f t="shared" si="1"/>
        <v>1</v>
      </c>
      <c r="I268" s="6"/>
      <c r="J268" s="10" t="str">
        <f>'traspo ñ alterar'!$B268</f>
        <v>22/10/26</v>
      </c>
      <c r="K268" s="2" t="str">
        <f t="shared" si="2"/>
        <v>Futebol </v>
      </c>
      <c r="L268" s="6" t="str">
        <f t="shared" si="3"/>
        <v/>
      </c>
      <c r="M268" s="6" t="str">
        <f t="shared" si="4"/>
        <v/>
      </c>
      <c r="N268" s="6" t="str">
        <f t="shared" si="5"/>
        <v>MOSTRAR</v>
      </c>
    </row>
    <row r="269" ht="15.75" customHeight="1">
      <c r="A269" s="1"/>
      <c r="B269" s="8" t="str">
        <f>Calendario!$B269</f>
        <v>23/10</v>
      </c>
      <c r="C269" s="8" t="str">
        <f>Calendario!$C269</f>
        <v>Friday</v>
      </c>
      <c r="D269" s="8" t="str">
        <f>Calendario!$D269</f>
        <v>Sexta cabeceira</v>
      </c>
      <c r="E269" s="8" t="str">
        <f>Calendario!$E269</f>
        <v>Quadra</v>
      </c>
      <c r="F269" s="8" t="str">
        <f>Calendario!$F269</f>
        <v>Inteensos</v>
      </c>
      <c r="G269" s="5"/>
      <c r="H269" s="6" t="str">
        <f t="shared" si="1"/>
        <v>1</v>
      </c>
      <c r="I269" s="6"/>
      <c r="J269" s="10" t="str">
        <f>'traspo ñ alterar'!$B269</f>
        <v>23/10/26</v>
      </c>
      <c r="K269" s="2" t="str">
        <f t="shared" si="2"/>
        <v>Sexta cabeceira</v>
      </c>
      <c r="L269" s="6" t="str">
        <f t="shared" si="3"/>
        <v/>
      </c>
      <c r="M269" s="6" t="str">
        <f t="shared" si="4"/>
        <v/>
      </c>
      <c r="N269" s="6" t="str">
        <f t="shared" si="5"/>
        <v>MOSTRAR</v>
      </c>
    </row>
    <row r="270" ht="15.75" customHeight="1">
      <c r="A270" s="1"/>
      <c r="B270" s="8" t="str">
        <f>Calendario!$B270</f>
        <v>24/10</v>
      </c>
      <c r="C270" s="8" t="str">
        <f>Calendario!$C270</f>
        <v>Saturday</v>
      </c>
      <c r="D270" s="8" t="str">
        <f>Calendario!$D270</f>
        <v>Marcha para Jesus</v>
      </c>
      <c r="E270" s="8" t="str">
        <f>Calendario!$E270</f>
        <v/>
      </c>
      <c r="F270" s="8" t="str">
        <f>Calendario!$F270</f>
        <v/>
      </c>
      <c r="G270" s="5"/>
      <c r="H270" s="6" t="str">
        <f t="shared" si="1"/>
        <v>1</v>
      </c>
      <c r="I270" s="6"/>
      <c r="J270" s="10" t="str">
        <f>'traspo ñ alterar'!$B270</f>
        <v>24/10/26</v>
      </c>
      <c r="K270" s="2" t="str">
        <f t="shared" si="2"/>
        <v>Marcha para Jesus</v>
      </c>
      <c r="L270" s="6" t="str">
        <f t="shared" si="3"/>
        <v/>
      </c>
      <c r="M270" s="6" t="str">
        <f t="shared" si="4"/>
        <v/>
      </c>
      <c r="N270" s="6" t="str">
        <f t="shared" si="5"/>
        <v>MOSTRAR</v>
      </c>
    </row>
    <row r="271" ht="15.75" customHeight="1">
      <c r="A271" s="1"/>
      <c r="B271" s="8" t="str">
        <f>Calendario!$B271</f>
        <v>25/10</v>
      </c>
      <c r="C271" s="8" t="str">
        <f>Calendario!$C271</f>
        <v>Sunday</v>
      </c>
      <c r="D271" s="8" t="str">
        <f>Calendario!$D271</f>
        <v>Culto missionário</v>
      </c>
      <c r="E271" s="8" t="str">
        <f>Calendario!$E271</f>
        <v/>
      </c>
      <c r="F271" s="8" t="str">
        <f>Calendario!$F271</f>
        <v/>
      </c>
      <c r="G271" s="5"/>
      <c r="H271" s="6" t="str">
        <f t="shared" si="1"/>
        <v>1</v>
      </c>
      <c r="I271" s="6"/>
      <c r="J271" s="10" t="str">
        <f>'traspo ñ alterar'!$B271</f>
        <v>25/10/26</v>
      </c>
      <c r="K271" s="2" t="str">
        <f t="shared" si="2"/>
        <v>Culto missionário</v>
      </c>
      <c r="L271" s="6" t="str">
        <f t="shared" si="3"/>
        <v/>
      </c>
      <c r="M271" s="6" t="str">
        <f t="shared" si="4"/>
        <v/>
      </c>
      <c r="N271" s="6" t="str">
        <f t="shared" si="5"/>
        <v>MOSTRAR</v>
      </c>
    </row>
    <row r="272" ht="15.75" customHeight="1">
      <c r="A272" s="1"/>
      <c r="B272" s="8" t="str">
        <f>Calendario!$B272</f>
        <v>28/10</v>
      </c>
      <c r="C272" s="8" t="str">
        <f>Calendario!$C272</f>
        <v>Wednesday</v>
      </c>
      <c r="D272" s="8" t="str">
        <f>Calendario!$D272</f>
        <v>Célula</v>
      </c>
      <c r="E272" s="8" t="str">
        <f>Calendario!$E272</f>
        <v/>
      </c>
      <c r="F272" s="8" t="str">
        <f>Calendario!$F272</f>
        <v/>
      </c>
      <c r="G272" s="5"/>
      <c r="H272" s="6" t="str">
        <f t="shared" si="1"/>
        <v>1</v>
      </c>
      <c r="I272" s="6"/>
      <c r="J272" s="10" t="str">
        <f>'traspo ñ alterar'!$B272</f>
        <v>28/10/26</v>
      </c>
      <c r="K272" s="2" t="str">
        <f t="shared" si="2"/>
        <v>Célula</v>
      </c>
      <c r="L272" s="6" t="str">
        <f t="shared" si="3"/>
        <v/>
      </c>
      <c r="M272" s="6" t="str">
        <f t="shared" si="4"/>
        <v/>
      </c>
      <c r="N272" s="6" t="str">
        <f t="shared" si="5"/>
        <v>MOSTRAR</v>
      </c>
    </row>
    <row r="273" ht="15.75" customHeight="1">
      <c r="A273" s="1"/>
      <c r="B273" s="8" t="str">
        <f>Calendario!$B273</f>
        <v>30/10</v>
      </c>
      <c r="C273" s="8" t="str">
        <f>Calendario!$C273</f>
        <v>Friday</v>
      </c>
      <c r="D273" s="8" t="str">
        <f>Calendario!$D273</f>
        <v>Sexta cabeceira</v>
      </c>
      <c r="E273" s="8" t="str">
        <f>Calendario!$E273</f>
        <v>Quadra</v>
      </c>
      <c r="F273" s="8" t="str">
        <f>Calendario!$F273</f>
        <v>Inteensos</v>
      </c>
      <c r="G273" s="5"/>
      <c r="H273" s="6" t="str">
        <f t="shared" si="1"/>
        <v>1</v>
      </c>
      <c r="I273" s="6"/>
      <c r="J273" s="10" t="str">
        <f>'traspo ñ alterar'!$B273</f>
        <v>30/10/26</v>
      </c>
      <c r="K273" s="2" t="str">
        <f t="shared" si="2"/>
        <v>Sexta cabeceira</v>
      </c>
      <c r="L273" s="6" t="str">
        <f t="shared" si="3"/>
        <v/>
      </c>
      <c r="M273" s="6" t="str">
        <f t="shared" si="4"/>
        <v/>
      </c>
      <c r="N273" s="6" t="str">
        <f t="shared" si="5"/>
        <v>MOSTRAR</v>
      </c>
    </row>
    <row r="274" ht="15.75" customHeight="1">
      <c r="A274" s="1"/>
      <c r="B274" s="8" t="str">
        <f>Calendario!$B274</f>
        <v>31/10</v>
      </c>
      <c r="C274" s="8" t="str">
        <f>Calendario!$C274</f>
        <v>Saturday</v>
      </c>
      <c r="D274" s="8" t="str">
        <f>Calendario!$D274</f>
        <v>Outside</v>
      </c>
      <c r="E274" s="8" t="str">
        <f>Calendario!$E274</f>
        <v>Igreja</v>
      </c>
      <c r="F274" s="8" t="str">
        <f>Calendario!$F274</f>
        <v>Metokids</v>
      </c>
      <c r="G274" s="5"/>
      <c r="H274" s="6" t="str">
        <f t="shared" si="1"/>
        <v>1</v>
      </c>
      <c r="I274" s="6"/>
      <c r="J274" s="10" t="str">
        <f>'traspo ñ alterar'!$B274</f>
        <v>31/10/26</v>
      </c>
      <c r="K274" s="2" t="str">
        <f t="shared" si="2"/>
        <v>Outside</v>
      </c>
      <c r="L274" s="6" t="str">
        <f t="shared" si="3"/>
        <v/>
      </c>
      <c r="M274" s="6" t="str">
        <f t="shared" si="4"/>
        <v/>
      </c>
      <c r="N274" s="6" t="str">
        <f t="shared" si="5"/>
        <v>MOSTRAR</v>
      </c>
    </row>
    <row r="275" ht="15.75" customHeight="1">
      <c r="A275" s="1"/>
      <c r="B275" s="8" t="str">
        <f>Calendario!$B275</f>
        <v>1/11</v>
      </c>
      <c r="C275" s="8" t="str">
        <f>Calendario!$C275</f>
        <v>Sunday</v>
      </c>
      <c r="D275" s="8" t="str">
        <f>Calendario!$D275</f>
        <v>Culto em Rio Brilhante</v>
      </c>
      <c r="E275" s="8" t="str">
        <f>Calendario!$E275</f>
        <v/>
      </c>
      <c r="F275" s="8" t="str">
        <f>Calendario!$F275</f>
        <v/>
      </c>
      <c r="G275" s="5"/>
      <c r="H275" s="6" t="str">
        <f t="shared" si="1"/>
        <v>1</v>
      </c>
      <c r="I275" s="6"/>
      <c r="J275" s="10" t="str">
        <f>'traspo ñ alterar'!$B275</f>
        <v>1/11/26</v>
      </c>
      <c r="K275" s="2" t="str">
        <f t="shared" si="2"/>
        <v>Culto em Rio Brilhante</v>
      </c>
      <c r="L275" s="6" t="str">
        <f t="shared" si="3"/>
        <v/>
      </c>
      <c r="M275" s="6" t="str">
        <f t="shared" si="4"/>
        <v/>
      </c>
      <c r="N275" s="6" t="str">
        <f t="shared" si="5"/>
        <v>MOSTRAR</v>
      </c>
    </row>
    <row r="276" ht="15.75" customHeight="1">
      <c r="A276" s="1"/>
      <c r="B276" s="8" t="str">
        <f>Calendario!$B276</f>
        <v>2/11</v>
      </c>
      <c r="C276" s="8" t="str">
        <f>Calendario!$C276</f>
        <v>Monday</v>
      </c>
      <c r="D276" s="8" t="str">
        <f>Calendario!$D276</f>
        <v>Retiro de homens</v>
      </c>
      <c r="E276" s="8" t="str">
        <f>Calendario!$E276</f>
        <v>Fora das dependências da igreja</v>
      </c>
      <c r="F276" s="8" t="str">
        <f>Calendario!$F276</f>
        <v>SMH</v>
      </c>
      <c r="G276" s="5"/>
      <c r="H276" s="6" t="str">
        <f t="shared" si="1"/>
        <v>1</v>
      </c>
      <c r="I276" s="6"/>
      <c r="J276" s="10" t="str">
        <f>'traspo ñ alterar'!$B276</f>
        <v>2/11/26</v>
      </c>
      <c r="K276" s="2" t="str">
        <f t="shared" si="2"/>
        <v>Retiro de homens</v>
      </c>
      <c r="L276" s="6" t="str">
        <f t="shared" si="3"/>
        <v/>
      </c>
      <c r="M276" s="6" t="str">
        <f t="shared" si="4"/>
        <v/>
      </c>
      <c r="N276" s="6" t="str">
        <f t="shared" si="5"/>
        <v>MOSTRAR</v>
      </c>
    </row>
    <row r="277" ht="15.75" customHeight="1">
      <c r="A277" s="1"/>
      <c r="B277" s="8" t="str">
        <f>Calendario!$B277</f>
        <v>4/11</v>
      </c>
      <c r="C277" s="8" t="str">
        <f>Calendario!$C277</f>
        <v>Wednesday</v>
      </c>
      <c r="D277" s="8" t="str">
        <f>Calendario!$D277</f>
        <v>Célula</v>
      </c>
      <c r="E277" s="8" t="str">
        <f>Calendario!$E277</f>
        <v/>
      </c>
      <c r="F277" s="8" t="str">
        <f>Calendario!$F277</f>
        <v/>
      </c>
      <c r="G277" s="5"/>
      <c r="H277" s="6" t="str">
        <f t="shared" si="1"/>
        <v>1</v>
      </c>
      <c r="I277" s="6"/>
      <c r="J277" s="10" t="str">
        <f>'traspo ñ alterar'!$B277</f>
        <v>4/11/26</v>
      </c>
      <c r="K277" s="2" t="str">
        <f t="shared" si="2"/>
        <v>Célula</v>
      </c>
      <c r="L277" s="6" t="str">
        <f t="shared" si="3"/>
        <v/>
      </c>
      <c r="M277" s="6" t="str">
        <f t="shared" si="4"/>
        <v/>
      </c>
      <c r="N277" s="6" t="str">
        <f t="shared" si="5"/>
        <v>MOSTRAR</v>
      </c>
    </row>
    <row r="278" ht="15.75" customHeight="1">
      <c r="A278" s="1"/>
      <c r="B278" s="8" t="str">
        <f>Calendario!$B278</f>
        <v>6/11</v>
      </c>
      <c r="C278" s="8" t="str">
        <f>Calendario!$C278</f>
        <v>Friday</v>
      </c>
      <c r="D278" s="8" t="str">
        <f>Calendario!$D278</f>
        <v>Vigília</v>
      </c>
      <c r="E278" s="8" t="str">
        <f>Calendario!$E278</f>
        <v>Templo</v>
      </c>
      <c r="F278" s="8" t="str">
        <f>Calendario!$F278</f>
        <v>Intercessão</v>
      </c>
      <c r="G278" s="5"/>
      <c r="H278" s="6" t="str">
        <f t="shared" si="1"/>
        <v>1</v>
      </c>
      <c r="I278" s="6"/>
      <c r="J278" s="10" t="str">
        <f>'traspo ñ alterar'!$B278</f>
        <v>6/11/26</v>
      </c>
      <c r="K278" s="2" t="str">
        <f t="shared" si="2"/>
        <v>Vigília</v>
      </c>
      <c r="L278" s="2" t="str">
        <f t="shared" si="3"/>
        <v>Sexta cabeceira</v>
      </c>
      <c r="M278" s="6" t="str">
        <f t="shared" si="4"/>
        <v/>
      </c>
      <c r="N278" s="6" t="str">
        <f t="shared" si="5"/>
        <v>MOSTRAR</v>
      </c>
    </row>
    <row r="279" ht="15.75" customHeight="1">
      <c r="A279" s="1"/>
      <c r="B279" s="8" t="str">
        <f>Calendario!$B279</f>
        <v>6/11</v>
      </c>
      <c r="C279" s="8" t="str">
        <f>Calendario!$C279</f>
        <v>Friday</v>
      </c>
      <c r="D279" s="8" t="str">
        <f>Calendario!$D279</f>
        <v>Sexta cabeceira</v>
      </c>
      <c r="E279" s="8" t="str">
        <f>Calendario!$E279</f>
        <v>Quadra</v>
      </c>
      <c r="F279" s="8" t="str">
        <f>Calendario!$F279</f>
        <v>Inteensos</v>
      </c>
      <c r="G279" s="5"/>
      <c r="H279" s="6" t="str">
        <f t="shared" si="1"/>
        <v>2</v>
      </c>
      <c r="I279" s="6"/>
      <c r="J279" s="10" t="str">
        <f>'traspo ñ alterar'!$B279</f>
        <v>6/11/26</v>
      </c>
      <c r="K279" s="6" t="str">
        <f t="shared" si="2"/>
        <v/>
      </c>
      <c r="L279" s="6" t="str">
        <f t="shared" si="3"/>
        <v/>
      </c>
      <c r="M279" s="6" t="str">
        <f t="shared" si="4"/>
        <v/>
      </c>
      <c r="N279" s="6" t="str">
        <f t="shared" si="5"/>
        <v>OCULTAR</v>
      </c>
    </row>
    <row r="280" ht="15.75" customHeight="1">
      <c r="A280" s="1"/>
      <c r="B280" s="8" t="str">
        <f>Calendario!$B280</f>
        <v>7/11</v>
      </c>
      <c r="C280" s="8" t="str">
        <f>Calendario!$C280</f>
        <v>Saturday</v>
      </c>
      <c r="D280" s="8" t="str">
        <f>Calendario!$D280</f>
        <v>Inteensos</v>
      </c>
      <c r="E280" s="8" t="str">
        <f>Calendario!$E280</f>
        <v>Templo</v>
      </c>
      <c r="F280" s="8" t="str">
        <f>Calendario!$F280</f>
        <v>Inteensos</v>
      </c>
      <c r="G280" s="5"/>
      <c r="H280" s="6" t="str">
        <f t="shared" si="1"/>
        <v>1</v>
      </c>
      <c r="I280" s="6"/>
      <c r="J280" s="10" t="str">
        <f>'traspo ñ alterar'!$B280</f>
        <v>7/11/26</v>
      </c>
      <c r="K280" s="2" t="str">
        <f t="shared" si="2"/>
        <v>Inteensos</v>
      </c>
      <c r="L280" s="6" t="str">
        <f t="shared" si="3"/>
        <v/>
      </c>
      <c r="M280" s="6" t="str">
        <f t="shared" si="4"/>
        <v/>
      </c>
      <c r="N280" s="6" t="str">
        <f t="shared" si="5"/>
        <v>MOSTRAR</v>
      </c>
    </row>
    <row r="281" ht="15.75" customHeight="1">
      <c r="A281" s="1"/>
      <c r="B281" s="8" t="str">
        <f>Calendario!$B281</f>
        <v>8/11</v>
      </c>
      <c r="C281" s="8" t="str">
        <f>Calendario!$C281</f>
        <v>Sunday</v>
      </c>
      <c r="D281" s="8" t="str">
        <f>Calendario!$D281</f>
        <v>2º Promoção</v>
      </c>
      <c r="E281" s="8" t="str">
        <f>Calendario!$E281</f>
        <v/>
      </c>
      <c r="F281" s="8" t="str">
        <f>Calendario!$F281</f>
        <v>Patrimonio</v>
      </c>
      <c r="G281" s="5"/>
      <c r="H281" s="6" t="str">
        <f t="shared" si="1"/>
        <v>1</v>
      </c>
      <c r="I281" s="6"/>
      <c r="J281" s="10" t="str">
        <f>'traspo ñ alterar'!$B281</f>
        <v>8/11/26</v>
      </c>
      <c r="K281" s="2" t="str">
        <f t="shared" si="2"/>
        <v>2º Promoção</v>
      </c>
      <c r="L281" s="2" t="str">
        <f t="shared" si="3"/>
        <v>Cantina prol GE</v>
      </c>
      <c r="M281" s="6" t="str">
        <f t="shared" si="4"/>
        <v/>
      </c>
      <c r="N281" s="6" t="str">
        <f t="shared" si="5"/>
        <v>MOSTRAR</v>
      </c>
    </row>
    <row r="282" ht="15.75" customHeight="1">
      <c r="A282" s="1"/>
      <c r="B282" s="8" t="str">
        <f>Calendario!$B282</f>
        <v>8/11</v>
      </c>
      <c r="C282" s="8" t="str">
        <f>Calendario!$C282</f>
        <v>Sunday</v>
      </c>
      <c r="D282" s="8" t="str">
        <f>Calendario!$D282</f>
        <v>Cantina prol GE</v>
      </c>
      <c r="E282" s="8" t="str">
        <f>Calendario!$E282</f>
        <v>A definir</v>
      </c>
      <c r="F282" s="8" t="str">
        <f>Calendario!$F282</f>
        <v>Inteensos</v>
      </c>
      <c r="G282" s="5"/>
      <c r="H282" s="6" t="str">
        <f t="shared" si="1"/>
        <v>2</v>
      </c>
      <c r="I282" s="6"/>
      <c r="J282" s="10" t="str">
        <f>'traspo ñ alterar'!$B282</f>
        <v>8/11/26</v>
      </c>
      <c r="K282" s="6" t="str">
        <f t="shared" si="2"/>
        <v/>
      </c>
      <c r="L282" s="6" t="str">
        <f t="shared" si="3"/>
        <v/>
      </c>
      <c r="M282" s="6" t="str">
        <f t="shared" si="4"/>
        <v/>
      </c>
      <c r="N282" s="6" t="str">
        <f t="shared" si="5"/>
        <v>OCULTAR</v>
      </c>
    </row>
    <row r="283" ht="15.75" customHeight="1">
      <c r="A283" s="1"/>
      <c r="B283" s="8" t="str">
        <f>Calendario!$B283</f>
        <v>11/11</v>
      </c>
      <c r="C283" s="8" t="str">
        <f>Calendario!$C283</f>
        <v>Wednesday</v>
      </c>
      <c r="D283" s="8" t="str">
        <f>Calendario!$D283</f>
        <v>Célula</v>
      </c>
      <c r="E283" s="8" t="str">
        <f>Calendario!$E283</f>
        <v/>
      </c>
      <c r="F283" s="8" t="str">
        <f>Calendario!$F283</f>
        <v/>
      </c>
      <c r="G283" s="5"/>
      <c r="H283" s="6" t="str">
        <f t="shared" si="1"/>
        <v>1</v>
      </c>
      <c r="I283" s="6"/>
      <c r="J283" s="10" t="str">
        <f>'traspo ñ alterar'!$B283</f>
        <v>11/11/26</v>
      </c>
      <c r="K283" s="2" t="str">
        <f t="shared" si="2"/>
        <v>Célula</v>
      </c>
      <c r="L283" s="6" t="str">
        <f t="shared" si="3"/>
        <v/>
      </c>
      <c r="M283" s="6" t="str">
        <f t="shared" si="4"/>
        <v/>
      </c>
      <c r="N283" s="6" t="str">
        <f t="shared" si="5"/>
        <v>MOSTRAR</v>
      </c>
    </row>
    <row r="284" ht="15.75" customHeight="1">
      <c r="A284" s="1"/>
      <c r="B284" s="8" t="str">
        <f>Calendario!$B284</f>
        <v>12/11</v>
      </c>
      <c r="C284" s="8" t="str">
        <f>Calendario!$C284</f>
        <v>Thursday</v>
      </c>
      <c r="D284" s="8" t="str">
        <f>Calendario!$D284</f>
        <v>Culto de homens</v>
      </c>
      <c r="E284" s="8" t="str">
        <f>Calendario!$E284</f>
        <v>Metokids</v>
      </c>
      <c r="F284" s="8" t="str">
        <f>Calendario!$F284</f>
        <v>SMH</v>
      </c>
      <c r="G284" s="5"/>
      <c r="H284" s="6" t="str">
        <f t="shared" si="1"/>
        <v>1</v>
      </c>
      <c r="I284" s="6"/>
      <c r="J284" s="10" t="str">
        <f>'traspo ñ alterar'!$B284</f>
        <v>12/11/26</v>
      </c>
      <c r="K284" s="2" t="str">
        <f t="shared" si="2"/>
        <v>Culto de homens</v>
      </c>
      <c r="L284" s="6" t="str">
        <f t="shared" si="3"/>
        <v/>
      </c>
      <c r="M284" s="6" t="str">
        <f t="shared" si="4"/>
        <v/>
      </c>
      <c r="N284" s="6" t="str">
        <f t="shared" si="5"/>
        <v>MOSTRAR</v>
      </c>
    </row>
    <row r="285" ht="15.75" customHeight="1">
      <c r="A285" s="1"/>
      <c r="B285" s="8" t="str">
        <f>Calendario!$B285</f>
        <v>13/11</v>
      </c>
      <c r="C285" s="8" t="str">
        <f>Calendario!$C285</f>
        <v>Friday</v>
      </c>
      <c r="D285" s="8" t="str">
        <f>Calendario!$D285</f>
        <v>Sexta cabeceira</v>
      </c>
      <c r="E285" s="8" t="str">
        <f>Calendario!$E285</f>
        <v>Quadra</v>
      </c>
      <c r="F285" s="8" t="str">
        <f>Calendario!$F285</f>
        <v>Inteensos</v>
      </c>
      <c r="G285" s="5"/>
      <c r="H285" s="6" t="str">
        <f t="shared" si="1"/>
        <v>1</v>
      </c>
      <c r="I285" s="6"/>
      <c r="J285" s="10" t="str">
        <f>'traspo ñ alterar'!$B285</f>
        <v>13/11/26</v>
      </c>
      <c r="K285" s="2" t="str">
        <f t="shared" si="2"/>
        <v>Sexta cabeceira</v>
      </c>
      <c r="L285" s="6" t="str">
        <f t="shared" si="3"/>
        <v/>
      </c>
      <c r="M285" s="6" t="str">
        <f t="shared" si="4"/>
        <v/>
      </c>
      <c r="N285" s="6" t="str">
        <f t="shared" si="5"/>
        <v>MOSTRAR</v>
      </c>
    </row>
    <row r="286" ht="15.75" customHeight="1">
      <c r="A286" s="1"/>
      <c r="B286" s="8" t="str">
        <f>Calendario!$B286</f>
        <v>14/11</v>
      </c>
      <c r="C286" s="8" t="str">
        <f>Calendario!$C286</f>
        <v>Saturday</v>
      </c>
      <c r="D286" s="8" t="str">
        <f>Calendario!$D286</f>
        <v>Fire Kids Pais e Filhos.</v>
      </c>
      <c r="E286" s="8" t="str">
        <f>Calendario!$E286</f>
        <v>Igreja</v>
      </c>
      <c r="F286" s="8" t="str">
        <f>Calendario!$F286</f>
        <v>Metokids</v>
      </c>
      <c r="G286" s="5"/>
      <c r="H286" s="6" t="str">
        <f t="shared" si="1"/>
        <v>1</v>
      </c>
      <c r="I286" s="6"/>
      <c r="J286" s="10" t="str">
        <f>'traspo ñ alterar'!$B286</f>
        <v>14/11/26</v>
      </c>
      <c r="K286" s="2" t="str">
        <f t="shared" si="2"/>
        <v>Fire Kids Pais e Filhos.</v>
      </c>
      <c r="L286" s="6" t="str">
        <f t="shared" si="3"/>
        <v/>
      </c>
      <c r="M286" s="6" t="str">
        <f t="shared" si="4"/>
        <v/>
      </c>
      <c r="N286" s="6" t="str">
        <f t="shared" si="5"/>
        <v>MOSTRAR</v>
      </c>
    </row>
    <row r="287" ht="15.75" customHeight="1">
      <c r="A287" s="1"/>
      <c r="B287" s="8" t="str">
        <f>Calendario!$B287</f>
        <v>18/11</v>
      </c>
      <c r="C287" s="8" t="str">
        <f>Calendario!$C287</f>
        <v>Wednesday</v>
      </c>
      <c r="D287" s="8" t="str">
        <f>Calendario!$D287</f>
        <v>Célula</v>
      </c>
      <c r="E287" s="8" t="str">
        <f>Calendario!$E287</f>
        <v/>
      </c>
      <c r="F287" s="8" t="str">
        <f>Calendario!$F287</f>
        <v/>
      </c>
      <c r="G287" s="5"/>
      <c r="H287" s="6" t="str">
        <f t="shared" si="1"/>
        <v>1</v>
      </c>
      <c r="I287" s="6"/>
      <c r="J287" s="10" t="str">
        <f>'traspo ñ alterar'!$B287</f>
        <v>18/11/26</v>
      </c>
      <c r="K287" s="2" t="str">
        <f t="shared" si="2"/>
        <v>Célula</v>
      </c>
      <c r="L287" s="6" t="str">
        <f t="shared" si="3"/>
        <v/>
      </c>
      <c r="M287" s="6" t="str">
        <f t="shared" si="4"/>
        <v/>
      </c>
      <c r="N287" s="6" t="str">
        <f t="shared" si="5"/>
        <v>MOSTRAR</v>
      </c>
    </row>
    <row r="288" ht="15.75" customHeight="1">
      <c r="A288" s="1"/>
      <c r="B288" s="8" t="str">
        <f>Calendario!$B288</f>
        <v>20/11</v>
      </c>
      <c r="C288" s="8" t="str">
        <f>Calendario!$C288</f>
        <v>Friday</v>
      </c>
      <c r="D288" s="8" t="str">
        <f>Calendario!$D288</f>
        <v>Sexta cabeceira</v>
      </c>
      <c r="E288" s="8" t="str">
        <f>Calendario!$E288</f>
        <v>Quadra</v>
      </c>
      <c r="F288" s="8" t="str">
        <f>Calendario!$F288</f>
        <v>Inteensos</v>
      </c>
      <c r="G288" s="5"/>
      <c r="H288" s="6" t="str">
        <f t="shared" si="1"/>
        <v>1</v>
      </c>
      <c r="I288" s="6"/>
      <c r="J288" s="10" t="str">
        <f>'traspo ñ alterar'!$B288</f>
        <v>20/11/26</v>
      </c>
      <c r="K288" s="2" t="str">
        <f t="shared" si="2"/>
        <v>Sexta cabeceira</v>
      </c>
      <c r="L288" s="6" t="str">
        <f t="shared" si="3"/>
        <v/>
      </c>
      <c r="M288" s="6" t="str">
        <f t="shared" si="4"/>
        <v/>
      </c>
      <c r="N288" s="6" t="str">
        <f t="shared" si="5"/>
        <v>MOSTRAR</v>
      </c>
    </row>
    <row r="289" ht="15.75" customHeight="1">
      <c r="A289" s="1"/>
      <c r="B289" s="8" t="str">
        <f>Calendario!$B289</f>
        <v>21/11</v>
      </c>
      <c r="C289" s="8" t="str">
        <f>Calendario!$C289</f>
        <v>Saturday</v>
      </c>
      <c r="D289" s="8" t="str">
        <f>Calendario!$D289</f>
        <v>Relogio de oração</v>
      </c>
      <c r="E289" s="8" t="str">
        <f>Calendario!$E289</f>
        <v>Templo</v>
      </c>
      <c r="F289" s="8" t="str">
        <f>Calendario!$F289</f>
        <v>Pastoral</v>
      </c>
      <c r="G289" s="5"/>
      <c r="H289" s="6" t="str">
        <f t="shared" si="1"/>
        <v>1</v>
      </c>
      <c r="I289" s="6"/>
      <c r="J289" s="10" t="str">
        <f>'traspo ñ alterar'!$B289</f>
        <v>21/11/26</v>
      </c>
      <c r="K289" s="2" t="str">
        <f t="shared" si="2"/>
        <v>Relogio de oração</v>
      </c>
      <c r="L289" s="6" t="str">
        <f t="shared" si="3"/>
        <v/>
      </c>
      <c r="M289" s="6" t="str">
        <f t="shared" si="4"/>
        <v/>
      </c>
      <c r="N289" s="6" t="str">
        <f t="shared" si="5"/>
        <v>MOSTRAR</v>
      </c>
    </row>
    <row r="290" ht="15.75" customHeight="1">
      <c r="A290" s="1"/>
      <c r="B290" s="8" t="str">
        <f>Calendario!$B290</f>
        <v>23/11</v>
      </c>
      <c r="C290" s="8" t="str">
        <f>Calendario!$C290</f>
        <v>Monday</v>
      </c>
      <c r="D290" s="8" t="str">
        <f>Calendario!$D290</f>
        <v>Clamor on line</v>
      </c>
      <c r="E290" s="8" t="str">
        <f>Calendario!$E290</f>
        <v/>
      </c>
      <c r="F290" s="8" t="str">
        <f>Calendario!$F290</f>
        <v>Intercessão</v>
      </c>
      <c r="G290" s="5"/>
      <c r="H290" s="6" t="str">
        <f t="shared" si="1"/>
        <v>1</v>
      </c>
      <c r="I290" s="6"/>
      <c r="J290" s="10" t="str">
        <f>'traspo ñ alterar'!$B290</f>
        <v>23/11/26</v>
      </c>
      <c r="K290" s="2" t="str">
        <f t="shared" si="2"/>
        <v>Clamor on line</v>
      </c>
      <c r="L290" s="6" t="str">
        <f t="shared" si="3"/>
        <v/>
      </c>
      <c r="M290" s="6" t="str">
        <f t="shared" si="4"/>
        <v/>
      </c>
      <c r="N290" s="6" t="str">
        <f t="shared" si="5"/>
        <v>MOSTRAR</v>
      </c>
    </row>
    <row r="291" ht="15.75" customHeight="1">
      <c r="A291" s="1"/>
      <c r="B291" s="8" t="str">
        <f>Calendario!$B291</f>
        <v>24/11</v>
      </c>
      <c r="C291" s="8" t="str">
        <f>Calendario!$C291</f>
        <v>Tuesday</v>
      </c>
      <c r="D291" s="8" t="str">
        <f>Calendario!$D291</f>
        <v>Clamor on line</v>
      </c>
      <c r="E291" s="8" t="str">
        <f>Calendario!$E291</f>
        <v/>
      </c>
      <c r="F291" s="8" t="str">
        <f>Calendario!$F291</f>
        <v>Intercessão</v>
      </c>
      <c r="G291" s="5"/>
      <c r="H291" s="6" t="str">
        <f t="shared" si="1"/>
        <v>1</v>
      </c>
      <c r="I291" s="6"/>
      <c r="J291" s="10" t="str">
        <f>'traspo ñ alterar'!$B291</f>
        <v>24/11/26</v>
      </c>
      <c r="K291" s="2" t="str">
        <f t="shared" si="2"/>
        <v>Clamor on line</v>
      </c>
      <c r="L291" s="6" t="str">
        <f t="shared" si="3"/>
        <v/>
      </c>
      <c r="M291" s="6" t="str">
        <f t="shared" si="4"/>
        <v/>
      </c>
      <c r="N291" s="6" t="str">
        <f t="shared" si="5"/>
        <v>MOSTRAR</v>
      </c>
    </row>
    <row r="292" ht="15.75" customHeight="1">
      <c r="A292" s="1"/>
      <c r="B292" s="8" t="str">
        <f>Calendario!$B292</f>
        <v>25/11</v>
      </c>
      <c r="C292" s="8" t="str">
        <f>Calendario!$C292</f>
        <v>Wednesday</v>
      </c>
      <c r="D292" s="8" t="str">
        <f>Calendario!$D292</f>
        <v>Clamor on line</v>
      </c>
      <c r="E292" s="8" t="str">
        <f>Calendario!$E292</f>
        <v/>
      </c>
      <c r="F292" s="8" t="str">
        <f>Calendario!$F292</f>
        <v>Intercessão</v>
      </c>
      <c r="G292" s="5"/>
      <c r="H292" s="6" t="str">
        <f t="shared" si="1"/>
        <v>1</v>
      </c>
      <c r="I292" s="6"/>
      <c r="J292" s="10" t="str">
        <f>'traspo ñ alterar'!$B292</f>
        <v>25/11/26</v>
      </c>
      <c r="K292" s="2" t="str">
        <f t="shared" si="2"/>
        <v>Clamor on line</v>
      </c>
      <c r="L292" s="2" t="str">
        <f t="shared" si="3"/>
        <v>Célula</v>
      </c>
      <c r="M292" s="6" t="str">
        <f t="shared" si="4"/>
        <v/>
      </c>
      <c r="N292" s="6" t="str">
        <f t="shared" si="5"/>
        <v>MOSTRAR</v>
      </c>
    </row>
    <row r="293" ht="15.75" customHeight="1">
      <c r="A293" s="1"/>
      <c r="B293" s="8" t="str">
        <f>Calendario!$B293</f>
        <v>25/11</v>
      </c>
      <c r="C293" s="8" t="str">
        <f>Calendario!$C293</f>
        <v>Wednesday</v>
      </c>
      <c r="D293" s="8" t="str">
        <f>Calendario!$D293</f>
        <v>Célula</v>
      </c>
      <c r="E293" s="8" t="str">
        <f>Calendario!$E293</f>
        <v/>
      </c>
      <c r="F293" s="8" t="str">
        <f>Calendario!$F293</f>
        <v/>
      </c>
      <c r="G293" s="5"/>
      <c r="H293" s="6" t="str">
        <f t="shared" si="1"/>
        <v>2</v>
      </c>
      <c r="I293" s="6"/>
      <c r="J293" s="10" t="str">
        <f>'traspo ñ alterar'!$B293</f>
        <v>25/11/26</v>
      </c>
      <c r="K293" s="6" t="str">
        <f t="shared" si="2"/>
        <v/>
      </c>
      <c r="L293" s="6" t="str">
        <f t="shared" si="3"/>
        <v/>
      </c>
      <c r="M293" s="6" t="str">
        <f t="shared" si="4"/>
        <v/>
      </c>
      <c r="N293" s="6" t="str">
        <f t="shared" si="5"/>
        <v>OCULTAR</v>
      </c>
    </row>
    <row r="294" ht="15.75" customHeight="1">
      <c r="A294" s="1"/>
      <c r="B294" s="8" t="str">
        <f>Calendario!$B294</f>
        <v>26/11</v>
      </c>
      <c r="C294" s="8" t="str">
        <f>Calendario!$C294</f>
        <v>Thursday</v>
      </c>
      <c r="D294" s="8" t="str">
        <f>Calendario!$D294</f>
        <v>Clamor on line</v>
      </c>
      <c r="E294" s="8" t="str">
        <f>Calendario!$E294</f>
        <v/>
      </c>
      <c r="F294" s="8" t="str">
        <f>Calendario!$F294</f>
        <v>Intercessão</v>
      </c>
      <c r="G294" s="5"/>
      <c r="H294" s="6" t="str">
        <f t="shared" si="1"/>
        <v>1</v>
      </c>
      <c r="I294" s="6"/>
      <c r="J294" s="10" t="str">
        <f>'traspo ñ alterar'!$B294</f>
        <v>26/11/26</v>
      </c>
      <c r="K294" s="2" t="str">
        <f t="shared" si="2"/>
        <v>Clamor on line</v>
      </c>
      <c r="L294" s="2" t="str">
        <f t="shared" si="3"/>
        <v>Culto de Ação de Graças</v>
      </c>
      <c r="M294" s="6" t="str">
        <f t="shared" si="4"/>
        <v/>
      </c>
      <c r="N294" s="6" t="str">
        <f t="shared" si="5"/>
        <v>MOSTRAR</v>
      </c>
    </row>
    <row r="295" ht="15.75" customHeight="1">
      <c r="A295" s="1"/>
      <c r="B295" s="8" t="str">
        <f>Calendario!$B295</f>
        <v>26/11</v>
      </c>
      <c r="C295" s="8" t="str">
        <f>Calendario!$C295</f>
        <v>Thursday</v>
      </c>
      <c r="D295" s="8" t="str">
        <f>Calendario!$D295</f>
        <v>Culto de Ação de Graças</v>
      </c>
      <c r="E295" s="8" t="str">
        <f>Calendario!$E295</f>
        <v>Templo</v>
      </c>
      <c r="F295" s="8" t="str">
        <f>Calendario!$F295</f>
        <v>Inteensos</v>
      </c>
      <c r="G295" s="5"/>
      <c r="H295" s="6" t="str">
        <f t="shared" si="1"/>
        <v>2</v>
      </c>
      <c r="I295" s="6"/>
      <c r="J295" s="10" t="str">
        <f>'traspo ñ alterar'!$B295</f>
        <v>26/11/26</v>
      </c>
      <c r="K295" s="6" t="str">
        <f t="shared" si="2"/>
        <v/>
      </c>
      <c r="L295" s="6" t="str">
        <f t="shared" si="3"/>
        <v/>
      </c>
      <c r="M295" s="6" t="str">
        <f t="shared" si="4"/>
        <v/>
      </c>
      <c r="N295" s="6" t="str">
        <f t="shared" si="5"/>
        <v>OCULTAR</v>
      </c>
    </row>
    <row r="296" ht="15.75" customHeight="1">
      <c r="A296" s="1"/>
      <c r="B296" s="8" t="str">
        <f>Calendario!$B296</f>
        <v>27/11</v>
      </c>
      <c r="C296" s="8" t="str">
        <f>Calendario!$C296</f>
        <v>Friday</v>
      </c>
      <c r="D296" s="8" t="str">
        <f>Calendario!$D296</f>
        <v>Clamor on line</v>
      </c>
      <c r="E296" s="8" t="str">
        <f>Calendario!$E296</f>
        <v/>
      </c>
      <c r="F296" s="8" t="str">
        <f>Calendario!$F296</f>
        <v>Intercessão</v>
      </c>
      <c r="G296" s="5"/>
      <c r="H296" s="6" t="str">
        <f t="shared" si="1"/>
        <v>1</v>
      </c>
      <c r="I296" s="6"/>
      <c r="J296" s="10" t="str">
        <f>'traspo ñ alterar'!$B296</f>
        <v>27/11/26</v>
      </c>
      <c r="K296" s="2" t="str">
        <f t="shared" si="2"/>
        <v>Clamor on line</v>
      </c>
      <c r="L296" s="2" t="str">
        <f t="shared" si="3"/>
        <v>Sexta cabeceira</v>
      </c>
      <c r="M296" s="6" t="str">
        <f t="shared" si="4"/>
        <v/>
      </c>
      <c r="N296" s="6" t="str">
        <f t="shared" si="5"/>
        <v>MOSTRAR</v>
      </c>
    </row>
    <row r="297" ht="15.75" customHeight="1">
      <c r="A297" s="1"/>
      <c r="B297" s="8" t="str">
        <f>Calendario!$B297</f>
        <v>27/11</v>
      </c>
      <c r="C297" s="8" t="str">
        <f>Calendario!$C297</f>
        <v>Friday</v>
      </c>
      <c r="D297" s="8" t="str">
        <f>Calendario!$D297</f>
        <v>Sexta cabeceira</v>
      </c>
      <c r="E297" s="8" t="str">
        <f>Calendario!$E297</f>
        <v>Quadra</v>
      </c>
      <c r="F297" s="8" t="str">
        <f>Calendario!$F297</f>
        <v>Inteensos</v>
      </c>
      <c r="G297" s="5"/>
      <c r="H297" s="6" t="str">
        <f t="shared" si="1"/>
        <v>2</v>
      </c>
      <c r="I297" s="6"/>
      <c r="J297" s="10" t="str">
        <f>'traspo ñ alterar'!$B297</f>
        <v>27/11/26</v>
      </c>
      <c r="K297" s="6" t="str">
        <f t="shared" si="2"/>
        <v/>
      </c>
      <c r="L297" s="6" t="str">
        <f t="shared" si="3"/>
        <v/>
      </c>
      <c r="M297" s="6" t="str">
        <f t="shared" si="4"/>
        <v/>
      </c>
      <c r="N297" s="6" t="str">
        <f t="shared" si="5"/>
        <v>OCULTAR</v>
      </c>
    </row>
    <row r="298" ht="15.75" customHeight="1">
      <c r="A298" s="1"/>
      <c r="B298" s="8" t="str">
        <f>Calendario!$B298</f>
        <v>28/11</v>
      </c>
      <c r="C298" s="8" t="str">
        <f>Calendario!$C298</f>
        <v>Saturday</v>
      </c>
      <c r="D298" s="8" t="str">
        <f>Calendario!$D298</f>
        <v>Aniversário 42 anos</v>
      </c>
      <c r="E298" s="8" t="str">
        <f>Calendario!$E298</f>
        <v>Templo</v>
      </c>
      <c r="F298" s="8" t="str">
        <f>Calendario!$F298</f>
        <v>Pastoral</v>
      </c>
      <c r="G298" s="5"/>
      <c r="H298" s="6" t="str">
        <f t="shared" si="1"/>
        <v>1</v>
      </c>
      <c r="I298" s="6"/>
      <c r="J298" s="10" t="str">
        <f>'traspo ñ alterar'!$B298</f>
        <v>28/11/26</v>
      </c>
      <c r="K298" s="2" t="str">
        <f t="shared" si="2"/>
        <v>Aniversário 42 anos</v>
      </c>
      <c r="L298" s="6" t="str">
        <f t="shared" si="3"/>
        <v/>
      </c>
      <c r="M298" s="6" t="str">
        <f t="shared" si="4"/>
        <v/>
      </c>
      <c r="N298" s="6" t="str">
        <f t="shared" si="5"/>
        <v>MOSTRAR</v>
      </c>
    </row>
    <row r="299" ht="15.75" customHeight="1">
      <c r="A299" s="1"/>
      <c r="B299" s="8" t="str">
        <f>Calendario!$B299</f>
        <v>29/11</v>
      </c>
      <c r="C299" s="8" t="str">
        <f>Calendario!$C299</f>
        <v>Sunday</v>
      </c>
      <c r="D299" s="8" t="str">
        <f>Calendario!$D299</f>
        <v>Aniversário 42 anos</v>
      </c>
      <c r="E299" s="8" t="str">
        <f>Calendario!$E299</f>
        <v>Templo</v>
      </c>
      <c r="F299" s="8" t="str">
        <f>Calendario!$F299</f>
        <v>Pastoral</v>
      </c>
      <c r="G299" s="5"/>
      <c r="H299" s="6" t="str">
        <f t="shared" si="1"/>
        <v>1</v>
      </c>
      <c r="I299" s="6"/>
      <c r="J299" s="10" t="str">
        <f>'traspo ñ alterar'!$B299</f>
        <v>29/11/26</v>
      </c>
      <c r="K299" s="2" t="str">
        <f t="shared" si="2"/>
        <v>Aniversário 42 anos</v>
      </c>
      <c r="L299" s="6" t="str">
        <f t="shared" si="3"/>
        <v/>
      </c>
      <c r="M299" s="6" t="str">
        <f t="shared" si="4"/>
        <v/>
      </c>
      <c r="N299" s="6" t="str">
        <f t="shared" si="5"/>
        <v>MOSTRAR</v>
      </c>
    </row>
    <row r="300" ht="15.75" customHeight="1">
      <c r="A300" s="1"/>
      <c r="B300" s="8" t="str">
        <f>Calendario!$B300</f>
        <v>2/12</v>
      </c>
      <c r="C300" s="8" t="str">
        <f>Calendario!$C300</f>
        <v>Wednesday</v>
      </c>
      <c r="D300" s="8" t="str">
        <f>Calendario!$D300</f>
        <v>Célula</v>
      </c>
      <c r="E300" s="8" t="str">
        <f>Calendario!$E300</f>
        <v/>
      </c>
      <c r="F300" s="8" t="str">
        <f>Calendario!$F300</f>
        <v/>
      </c>
      <c r="G300" s="5"/>
      <c r="H300" s="6" t="str">
        <f t="shared" si="1"/>
        <v>1</v>
      </c>
      <c r="I300" s="6"/>
      <c r="J300" s="10" t="str">
        <f>'traspo ñ alterar'!$B300</f>
        <v>2/12/26</v>
      </c>
      <c r="K300" s="2" t="str">
        <f t="shared" si="2"/>
        <v>Célula</v>
      </c>
      <c r="L300" s="6" t="str">
        <f t="shared" si="3"/>
        <v/>
      </c>
      <c r="M300" s="6" t="str">
        <f t="shared" si="4"/>
        <v/>
      </c>
      <c r="N300" s="6" t="str">
        <f t="shared" si="5"/>
        <v>MOSTRAR</v>
      </c>
    </row>
    <row r="301" ht="15.75" customHeight="1">
      <c r="A301" s="1"/>
      <c r="B301" s="8" t="str">
        <f>Calendario!$B301</f>
        <v>4/12</v>
      </c>
      <c r="C301" s="8" t="str">
        <f>Calendario!$C301</f>
        <v>Friday</v>
      </c>
      <c r="D301" s="8" t="str">
        <f>Calendario!$D301</f>
        <v>Vigília</v>
      </c>
      <c r="E301" s="8" t="str">
        <f>Calendario!$E301</f>
        <v>Templo</v>
      </c>
      <c r="F301" s="8" t="str">
        <f>Calendario!$F301</f>
        <v>Intercessão</v>
      </c>
      <c r="G301" s="5"/>
      <c r="H301" s="6" t="str">
        <f t="shared" si="1"/>
        <v>1</v>
      </c>
      <c r="I301" s="6"/>
      <c r="J301" s="10" t="str">
        <f>'traspo ñ alterar'!$B301</f>
        <v>4/12/26</v>
      </c>
      <c r="K301" s="2" t="str">
        <f t="shared" si="2"/>
        <v>Vigília</v>
      </c>
      <c r="L301" s="2" t="str">
        <f t="shared" si="3"/>
        <v>Sexta cabeceira</v>
      </c>
      <c r="M301" s="6" t="str">
        <f t="shared" si="4"/>
        <v/>
      </c>
      <c r="N301" s="6" t="str">
        <f t="shared" si="5"/>
        <v>MOSTRAR</v>
      </c>
    </row>
    <row r="302" ht="15.75" customHeight="1">
      <c r="A302" s="1"/>
      <c r="B302" s="8" t="str">
        <f>Calendario!$B302</f>
        <v>4/12</v>
      </c>
      <c r="C302" s="8" t="str">
        <f>Calendario!$C302</f>
        <v>Friday</v>
      </c>
      <c r="D302" s="8" t="str">
        <f>Calendario!$D302</f>
        <v>Sexta cabeceira</v>
      </c>
      <c r="E302" s="8" t="str">
        <f>Calendario!$E302</f>
        <v>Quadra</v>
      </c>
      <c r="F302" s="8" t="str">
        <f>Calendario!$F302</f>
        <v>Inteensos</v>
      </c>
      <c r="G302" s="5"/>
      <c r="H302" s="6" t="str">
        <f t="shared" si="1"/>
        <v>2</v>
      </c>
      <c r="I302" s="6"/>
      <c r="J302" s="10" t="str">
        <f>'traspo ñ alterar'!$B302</f>
        <v>4/12/26</v>
      </c>
      <c r="K302" s="6" t="str">
        <f t="shared" si="2"/>
        <v/>
      </c>
      <c r="L302" s="6" t="str">
        <f t="shared" si="3"/>
        <v/>
      </c>
      <c r="M302" s="6" t="str">
        <f t="shared" si="4"/>
        <v/>
      </c>
      <c r="N302" s="6" t="str">
        <f t="shared" si="5"/>
        <v>OCULTAR</v>
      </c>
    </row>
    <row r="303" ht="15.75" customHeight="1">
      <c r="A303" s="1"/>
      <c r="B303" s="8" t="str">
        <f>Calendario!$B303</f>
        <v>5/12</v>
      </c>
      <c r="C303" s="8" t="str">
        <f>Calendario!$C303</f>
        <v>Saturday</v>
      </c>
      <c r="D303" s="8" t="str">
        <f>Calendario!$D303</f>
        <v>Inteensos</v>
      </c>
      <c r="E303" s="8" t="str">
        <f>Calendario!$E303</f>
        <v>Templo</v>
      </c>
      <c r="F303" s="8" t="str">
        <f>Calendario!$F303</f>
        <v>Inteensos</v>
      </c>
      <c r="G303" s="5"/>
      <c r="H303" s="6" t="str">
        <f t="shared" si="1"/>
        <v>1</v>
      </c>
      <c r="I303" s="6"/>
      <c r="J303" s="10" t="str">
        <f>'traspo ñ alterar'!$B303</f>
        <v>5/12/26</v>
      </c>
      <c r="K303" s="2" t="str">
        <f t="shared" si="2"/>
        <v>Inteensos</v>
      </c>
      <c r="L303" s="6" t="str">
        <f t="shared" si="3"/>
        <v/>
      </c>
      <c r="M303" s="6" t="str">
        <f t="shared" si="4"/>
        <v/>
      </c>
      <c r="N303" s="6" t="str">
        <f t="shared" si="5"/>
        <v>MOSTRAR</v>
      </c>
    </row>
    <row r="304" ht="15.75" customHeight="1">
      <c r="A304" s="1"/>
      <c r="B304" s="8" t="str">
        <f>Calendario!$B304</f>
        <v>6/12</v>
      </c>
      <c r="C304" s="8" t="str">
        <f>Calendario!$C304</f>
        <v>Sunday</v>
      </c>
      <c r="D304" s="8" t="str">
        <f>Calendario!$D304</f>
        <v>Teatro de Natal</v>
      </c>
      <c r="E304" s="8" t="str">
        <f>Calendario!$E304</f>
        <v>Templo</v>
      </c>
      <c r="F304" s="8" t="str">
        <f>Calendario!$F304</f>
        <v>Pastoral</v>
      </c>
      <c r="G304" s="5"/>
      <c r="H304" s="6" t="str">
        <f t="shared" si="1"/>
        <v>1</v>
      </c>
      <c r="I304" s="6"/>
      <c r="J304" s="10" t="str">
        <f>'traspo ñ alterar'!$B304</f>
        <v>6/12/26</v>
      </c>
      <c r="K304" s="2" t="str">
        <f t="shared" si="2"/>
        <v>Teatro de Natal</v>
      </c>
      <c r="L304" s="2" t="str">
        <f t="shared" si="3"/>
        <v>Culto em Rio Brilhante</v>
      </c>
      <c r="M304" s="6" t="str">
        <f t="shared" si="4"/>
        <v/>
      </c>
      <c r="N304" s="6" t="str">
        <f t="shared" si="5"/>
        <v>MOSTRAR</v>
      </c>
    </row>
    <row r="305" ht="15.75" customHeight="1">
      <c r="A305" s="1"/>
      <c r="B305" s="8" t="str">
        <f>Calendario!$B305</f>
        <v>6/12</v>
      </c>
      <c r="C305" s="8" t="str">
        <f>Calendario!$C305</f>
        <v>Sunday</v>
      </c>
      <c r="D305" s="8" t="str">
        <f>Calendario!$D305</f>
        <v>Culto em Rio Brilhante</v>
      </c>
      <c r="E305" s="8" t="str">
        <f>Calendario!$E305</f>
        <v/>
      </c>
      <c r="F305" s="8" t="str">
        <f>Calendario!$F305</f>
        <v/>
      </c>
      <c r="G305" s="5"/>
      <c r="H305" s="6" t="str">
        <f t="shared" si="1"/>
        <v>2</v>
      </c>
      <c r="I305" s="6"/>
      <c r="J305" s="10" t="str">
        <f>'traspo ñ alterar'!$B305</f>
        <v>6/12/26</v>
      </c>
      <c r="K305" s="6" t="str">
        <f t="shared" si="2"/>
        <v/>
      </c>
      <c r="L305" s="6" t="str">
        <f t="shared" si="3"/>
        <v/>
      </c>
      <c r="M305" s="6" t="str">
        <f t="shared" si="4"/>
        <v/>
      </c>
      <c r="N305" s="6" t="str">
        <f t="shared" si="5"/>
        <v>OCULTAR</v>
      </c>
    </row>
    <row r="306" ht="15.75" customHeight="1">
      <c r="A306" s="1"/>
      <c r="B306" s="8" t="str">
        <f>Calendario!$B306</f>
        <v>9/12</v>
      </c>
      <c r="C306" s="8" t="str">
        <f>Calendario!$C306</f>
        <v>Wednesday</v>
      </c>
      <c r="D306" s="8" t="str">
        <f>Calendario!$D306</f>
        <v>Célula</v>
      </c>
      <c r="E306" s="8" t="str">
        <f>Calendario!$E306</f>
        <v/>
      </c>
      <c r="F306" s="8" t="str">
        <f>Calendario!$F306</f>
        <v/>
      </c>
      <c r="G306" s="5"/>
      <c r="H306" s="6" t="str">
        <f t="shared" si="1"/>
        <v>1</v>
      </c>
      <c r="I306" s="6"/>
      <c r="J306" s="10" t="str">
        <f>'traspo ñ alterar'!$B306</f>
        <v>9/12/26</v>
      </c>
      <c r="K306" s="2" t="str">
        <f t="shared" si="2"/>
        <v>Célula</v>
      </c>
      <c r="L306" s="6" t="str">
        <f t="shared" si="3"/>
        <v/>
      </c>
      <c r="M306" s="6" t="str">
        <f t="shared" si="4"/>
        <v/>
      </c>
      <c r="N306" s="6" t="str">
        <f t="shared" si="5"/>
        <v>MOSTRAR</v>
      </c>
    </row>
    <row r="307" ht="15.75" customHeight="1">
      <c r="A307" s="1"/>
      <c r="B307" s="8" t="str">
        <f>Calendario!$B307</f>
        <v>10/12</v>
      </c>
      <c r="C307" s="8" t="str">
        <f>Calendario!$C307</f>
        <v>Thursday</v>
      </c>
      <c r="D307" s="8" t="str">
        <f>Calendario!$D307</f>
        <v>Culto de homens</v>
      </c>
      <c r="E307" s="8" t="str">
        <f>Calendario!$E307</f>
        <v>Metokids</v>
      </c>
      <c r="F307" s="8" t="str">
        <f>Calendario!$F307</f>
        <v>SMH</v>
      </c>
      <c r="G307" s="5"/>
      <c r="H307" s="6" t="str">
        <f t="shared" si="1"/>
        <v>1</v>
      </c>
      <c r="I307" s="6"/>
      <c r="J307" s="10" t="str">
        <f>'traspo ñ alterar'!$B307</f>
        <v>10/12/26</v>
      </c>
      <c r="K307" s="2" t="str">
        <f t="shared" si="2"/>
        <v>Culto de homens</v>
      </c>
      <c r="L307" s="6" t="str">
        <f t="shared" si="3"/>
        <v/>
      </c>
      <c r="M307" s="6" t="str">
        <f t="shared" si="4"/>
        <v/>
      </c>
      <c r="N307" s="6" t="str">
        <f t="shared" si="5"/>
        <v>MOSTRAR</v>
      </c>
    </row>
    <row r="308" ht="15.75" customHeight="1">
      <c r="A308" s="1"/>
      <c r="B308" s="8" t="str">
        <f>Calendario!$B308</f>
        <v>11/12</v>
      </c>
      <c r="C308" s="8" t="str">
        <f>Calendario!$C308</f>
        <v>Friday</v>
      </c>
      <c r="D308" s="8" t="str">
        <f>Calendario!$D308</f>
        <v>Sexta cabeceira</v>
      </c>
      <c r="E308" s="8" t="str">
        <f>Calendario!$E308</f>
        <v>Quadra</v>
      </c>
      <c r="F308" s="8" t="str">
        <f>Calendario!$F308</f>
        <v>Inteensos</v>
      </c>
      <c r="G308" s="5"/>
      <c r="H308" s="6" t="str">
        <f t="shared" si="1"/>
        <v>1</v>
      </c>
      <c r="I308" s="6"/>
      <c r="J308" s="10" t="str">
        <f>'traspo ñ alterar'!$B308</f>
        <v>11/12/26</v>
      </c>
      <c r="K308" s="2" t="str">
        <f t="shared" si="2"/>
        <v>Sexta cabeceira</v>
      </c>
      <c r="L308" s="6" t="str">
        <f t="shared" si="3"/>
        <v/>
      </c>
      <c r="M308" s="6" t="str">
        <f t="shared" si="4"/>
        <v/>
      </c>
      <c r="N308" s="6" t="str">
        <f t="shared" si="5"/>
        <v>MOSTRAR</v>
      </c>
    </row>
    <row r="309" ht="15.75" customHeight="1">
      <c r="A309" s="1"/>
      <c r="B309" s="8" t="str">
        <f>Calendario!$B309</f>
        <v>12/12</v>
      </c>
      <c r="C309" s="8" t="str">
        <f>Calendario!$C309</f>
        <v>Saturday</v>
      </c>
      <c r="D309" s="8" t="str">
        <f>Calendario!$D309</f>
        <v>Dia da Bíblia</v>
      </c>
      <c r="E309" s="8" t="str">
        <f>Calendario!$E309</f>
        <v/>
      </c>
      <c r="F309" s="8" t="str">
        <f>Calendario!$F309</f>
        <v/>
      </c>
      <c r="G309" s="5"/>
      <c r="H309" s="6" t="str">
        <f t="shared" si="1"/>
        <v>1</v>
      </c>
      <c r="I309" s="6"/>
      <c r="J309" s="10" t="str">
        <f>'traspo ñ alterar'!$B309</f>
        <v>12/12/26</v>
      </c>
      <c r="K309" s="2" t="str">
        <f t="shared" si="2"/>
        <v>Dia da Bíblia</v>
      </c>
      <c r="L309" s="2" t="str">
        <f t="shared" si="3"/>
        <v>Relogio de oração</v>
      </c>
      <c r="M309" s="2" t="str">
        <f t="shared" si="4"/>
        <v>Antecipação do Culto</v>
      </c>
      <c r="N309" s="6" t="str">
        <f t="shared" si="5"/>
        <v>MOSTRAR</v>
      </c>
    </row>
    <row r="310" ht="15.75" customHeight="1">
      <c r="A310" s="1"/>
      <c r="B310" s="8" t="str">
        <f>Calendario!$B310</f>
        <v>12/12</v>
      </c>
      <c r="C310" s="8" t="str">
        <f>Calendario!$C310</f>
        <v>Saturday</v>
      </c>
      <c r="D310" s="8" t="str">
        <f>Calendario!$D310</f>
        <v>Relogio de oração</v>
      </c>
      <c r="E310" s="8" t="str">
        <f>Calendario!$E310</f>
        <v/>
      </c>
      <c r="F310" s="8" t="str">
        <f>Calendario!$F310</f>
        <v>Intercessão</v>
      </c>
      <c r="G310" s="5"/>
      <c r="H310" s="6" t="str">
        <f t="shared" si="1"/>
        <v>2</v>
      </c>
      <c r="I310" s="6"/>
      <c r="J310" s="10" t="str">
        <f>'traspo ñ alterar'!$B310</f>
        <v>12/12/26</v>
      </c>
      <c r="K310" s="6" t="str">
        <f t="shared" si="2"/>
        <v/>
      </c>
      <c r="L310" s="6" t="str">
        <f t="shared" si="3"/>
        <v/>
      </c>
      <c r="M310" s="6" t="str">
        <f t="shared" si="4"/>
        <v/>
      </c>
      <c r="N310" s="6" t="str">
        <f t="shared" si="5"/>
        <v>OCULTAR</v>
      </c>
    </row>
    <row r="311" ht="15.75" customHeight="1">
      <c r="A311" s="1"/>
      <c r="B311" s="8" t="str">
        <f>Calendario!$B311</f>
        <v>12/12</v>
      </c>
      <c r="C311" s="8" t="str">
        <f>Calendario!$C311</f>
        <v>Saturday</v>
      </c>
      <c r="D311" s="8" t="str">
        <f>Calendario!$D311</f>
        <v>Antecipação do Culto</v>
      </c>
      <c r="E311" s="8" t="str">
        <f>Calendario!$E311</f>
        <v>Templo</v>
      </c>
      <c r="F311" s="8" t="str">
        <f>Calendario!$F311</f>
        <v>EBD</v>
      </c>
      <c r="G311" s="5"/>
      <c r="H311" s="6" t="str">
        <f t="shared" si="1"/>
        <v>3</v>
      </c>
      <c r="I311" s="6"/>
      <c r="J311" s="10" t="str">
        <f>'traspo ñ alterar'!$B311</f>
        <v>12/12/26</v>
      </c>
      <c r="K311" s="6" t="str">
        <f t="shared" si="2"/>
        <v/>
      </c>
      <c r="L311" s="6" t="str">
        <f t="shared" si="3"/>
        <v/>
      </c>
      <c r="M311" s="6" t="str">
        <f t="shared" si="4"/>
        <v/>
      </c>
      <c r="N311" s="6" t="str">
        <f t="shared" si="5"/>
        <v>OCULTAR</v>
      </c>
    </row>
    <row r="312" ht="15.75" customHeight="1">
      <c r="A312" s="1"/>
      <c r="B312" s="8" t="str">
        <f>Calendario!$B312</f>
        <v>13/12</v>
      </c>
      <c r="C312" s="8" t="str">
        <f>Calendario!$C312</f>
        <v>Sunday</v>
      </c>
      <c r="D312" s="8" t="str">
        <f>Calendario!$D312</f>
        <v>Batismo e Confraternização</v>
      </c>
      <c r="E312" s="8" t="str">
        <f>Calendario!$E312</f>
        <v/>
      </c>
      <c r="F312" s="8" t="str">
        <f>Calendario!$F312</f>
        <v>Secretaria do discipulado</v>
      </c>
      <c r="G312" s="5"/>
      <c r="H312" s="6" t="str">
        <f t="shared" si="1"/>
        <v>1</v>
      </c>
      <c r="I312" s="6"/>
      <c r="J312" s="10" t="str">
        <f>'traspo ñ alterar'!$B312</f>
        <v>13/12/26</v>
      </c>
      <c r="K312" s="2" t="str">
        <f t="shared" si="2"/>
        <v>Batismo e Confraternização</v>
      </c>
      <c r="L312" s="6" t="str">
        <f t="shared" si="3"/>
        <v/>
      </c>
      <c r="M312" s="6" t="str">
        <f t="shared" si="4"/>
        <v/>
      </c>
      <c r="N312" s="6" t="str">
        <f t="shared" si="5"/>
        <v>MOSTRAR</v>
      </c>
    </row>
    <row r="313" ht="15.75" customHeight="1">
      <c r="A313" s="1"/>
      <c r="B313" s="8" t="str">
        <f>Calendario!$B313</f>
        <v>19/12</v>
      </c>
      <c r="C313" s="8" t="str">
        <f>Calendario!$C313</f>
        <v>Saturday</v>
      </c>
      <c r="D313" s="8" t="str">
        <f>Calendario!$D313</f>
        <v>Formatura/EBD</v>
      </c>
      <c r="E313" s="8" t="str">
        <f>Calendario!$E313</f>
        <v>Templo</v>
      </c>
      <c r="F313" s="8" t="str">
        <f>Calendario!$F313</f>
        <v>EBD</v>
      </c>
      <c r="G313" s="5"/>
      <c r="H313" s="6" t="str">
        <f t="shared" si="1"/>
        <v>1</v>
      </c>
      <c r="I313" s="6"/>
      <c r="J313" s="10" t="str">
        <f>'traspo ñ alterar'!$B313</f>
        <v>19/12/26</v>
      </c>
      <c r="K313" s="2" t="str">
        <f t="shared" si="2"/>
        <v>Formatura/EBD</v>
      </c>
      <c r="L313" s="6" t="str">
        <f t="shared" si="3"/>
        <v/>
      </c>
      <c r="M313" s="6" t="str">
        <f t="shared" si="4"/>
        <v/>
      </c>
      <c r="N313" s="6" t="str">
        <f t="shared" si="5"/>
        <v>MOSTRAR</v>
      </c>
    </row>
    <row r="314" ht="15.75" customHeight="1">
      <c r="A314" s="1"/>
      <c r="B314" s="8" t="str">
        <f>Calendario!$B314</f>
        <v>20/12</v>
      </c>
      <c r="C314" s="8" t="str">
        <f>Calendario!$C314</f>
        <v>Sunday</v>
      </c>
      <c r="D314" s="8" t="str">
        <f>Calendario!$D314</f>
        <v>Concílio Local 2</v>
      </c>
      <c r="E314" s="8" t="str">
        <f>Calendario!$E314</f>
        <v>Templo</v>
      </c>
      <c r="F314" s="8" t="str">
        <f>Calendario!$F314</f>
        <v>Pastoral</v>
      </c>
      <c r="G314" s="5"/>
      <c r="H314" s="6" t="str">
        <f t="shared" si="1"/>
        <v>1</v>
      </c>
      <c r="I314" s="6"/>
      <c r="J314" s="10" t="str">
        <f>'traspo ñ alterar'!$B314</f>
        <v>20/12/26</v>
      </c>
      <c r="K314" s="2" t="str">
        <f t="shared" si="2"/>
        <v>Concílio Local 2</v>
      </c>
      <c r="L314" s="2" t="str">
        <f t="shared" si="3"/>
        <v>Culto de Recepção de Novos Membros</v>
      </c>
      <c r="M314" s="6" t="str">
        <f t="shared" si="4"/>
        <v/>
      </c>
      <c r="N314" s="6" t="str">
        <f t="shared" si="5"/>
        <v>MOSTRAR</v>
      </c>
    </row>
    <row r="315" ht="15.75" customHeight="1">
      <c r="A315" s="1"/>
      <c r="B315" s="8" t="str">
        <f>Calendario!$B315</f>
        <v>20/12</v>
      </c>
      <c r="C315" s="8" t="str">
        <f>Calendario!$C315</f>
        <v>Sunday</v>
      </c>
      <c r="D315" s="8" t="str">
        <f>Calendario!$D315</f>
        <v>Culto de Recepção de Novos Membros</v>
      </c>
      <c r="E315" s="8" t="str">
        <f>Calendario!$E315</f>
        <v>Templo</v>
      </c>
      <c r="F315" s="8" t="str">
        <f>Calendario!$F315</f>
        <v>Pastoral</v>
      </c>
      <c r="G315" s="5"/>
      <c r="H315" s="6" t="str">
        <f t="shared" si="1"/>
        <v>2</v>
      </c>
      <c r="I315" s="6"/>
      <c r="J315" s="10" t="str">
        <f>'traspo ñ alterar'!$B315</f>
        <v>20/12/26</v>
      </c>
      <c r="K315" s="6" t="str">
        <f t="shared" si="2"/>
        <v/>
      </c>
      <c r="L315" s="6" t="str">
        <f t="shared" si="3"/>
        <v/>
      </c>
      <c r="M315" s="6" t="str">
        <f t="shared" si="4"/>
        <v/>
      </c>
      <c r="N315" s="6" t="str">
        <f t="shared" si="5"/>
        <v>OCULTAR</v>
      </c>
    </row>
    <row r="316" ht="15.75" customHeight="1">
      <c r="A316" s="1"/>
      <c r="B316" s="8" t="str">
        <f>Calendario!$B316</f>
        <v>31/12</v>
      </c>
      <c r="C316" s="8" t="str">
        <f>Calendario!$C316</f>
        <v>Thursday</v>
      </c>
      <c r="D316" s="8" t="str">
        <f>Calendario!$D316</f>
        <v>Reveillon cabeceira</v>
      </c>
      <c r="E316" s="8" t="str">
        <f>Calendario!$E316</f>
        <v/>
      </c>
      <c r="F316" s="8" t="str">
        <f>Calendario!$F316</f>
        <v>Pastoral</v>
      </c>
      <c r="G316" s="5"/>
      <c r="H316" s="6" t="str">
        <f t="shared" si="1"/>
        <v>1</v>
      </c>
      <c r="I316" s="6"/>
      <c r="J316" s="10" t="str">
        <f>'traspo ñ alterar'!$B316</f>
        <v>31/12/26</v>
      </c>
      <c r="K316" s="2" t="str">
        <f t="shared" si="2"/>
        <v>Reveillon cabeceira</v>
      </c>
      <c r="L316" s="6" t="str">
        <f t="shared" si="3"/>
        <v/>
      </c>
      <c r="M316" s="6" t="str">
        <f t="shared" si="4"/>
        <v/>
      </c>
      <c r="N316" s="6" t="str">
        <f t="shared" si="5"/>
        <v>MOSTRAR</v>
      </c>
    </row>
    <row r="317" ht="15.75" customHeight="1">
      <c r="A317" s="1"/>
      <c r="B317" s="8" t="str">
        <f>Calendario!$B317</f>
        <v>2/1</v>
      </c>
      <c r="C317" s="8" t="str">
        <f>Calendario!$C317</f>
        <v>Saturday</v>
      </c>
      <c r="D317" s="8" t="str">
        <f>Calendario!$D317</f>
        <v>12 Dias de Clamor para 12 Meses de Milagres</v>
      </c>
      <c r="E317" s="8" t="str">
        <f>Calendario!$E317</f>
        <v/>
      </c>
      <c r="F317" s="8" t="str">
        <f>Calendario!$F317</f>
        <v/>
      </c>
      <c r="G317" s="5"/>
      <c r="H317" s="6" t="str">
        <f t="shared" si="1"/>
        <v>1</v>
      </c>
      <c r="I317" s="6"/>
      <c r="J317" s="10" t="str">
        <f>'traspo ñ alterar'!$B317</f>
        <v>2/1/27</v>
      </c>
      <c r="K317" s="2" t="str">
        <f t="shared" si="2"/>
        <v>12 Dias de Clamor para 12 Meses de Milagres</v>
      </c>
      <c r="L317" s="6" t="str">
        <f t="shared" si="3"/>
        <v/>
      </c>
      <c r="M317" s="6" t="str">
        <f t="shared" si="4"/>
        <v/>
      </c>
      <c r="N317" s="6" t="str">
        <f t="shared" si="5"/>
        <v>MOSTRAR</v>
      </c>
    </row>
    <row r="318" ht="15.75" customHeight="1">
      <c r="A318" s="1"/>
      <c r="B318" s="8" t="str">
        <f>Calendario!$B318</f>
        <v>3/1</v>
      </c>
      <c r="C318" s="8" t="str">
        <f>Calendario!$C318</f>
        <v>Sunday</v>
      </c>
      <c r="D318" s="8" t="str">
        <f>Calendario!$D318</f>
        <v>12 Dias de Clamor para 12 Meses de Milagres</v>
      </c>
      <c r="E318" s="8" t="str">
        <f>Calendario!$E318</f>
        <v/>
      </c>
      <c r="F318" s="8" t="str">
        <f>Calendario!$F318</f>
        <v/>
      </c>
      <c r="G318" s="5"/>
      <c r="H318" s="6" t="str">
        <f t="shared" si="1"/>
        <v>1</v>
      </c>
      <c r="I318" s="6"/>
      <c r="J318" s="10" t="str">
        <f>'traspo ñ alterar'!$B318</f>
        <v>3/1/27</v>
      </c>
      <c r="K318" s="2" t="str">
        <f t="shared" si="2"/>
        <v>12 Dias de Clamor para 12 Meses de Milagres</v>
      </c>
      <c r="L318" s="6" t="str">
        <f t="shared" si="3"/>
        <v/>
      </c>
      <c r="M318" s="6" t="str">
        <f t="shared" si="4"/>
        <v/>
      </c>
      <c r="N318" s="6" t="str">
        <f t="shared" si="5"/>
        <v>MOSTRAR</v>
      </c>
    </row>
    <row r="319" ht="15.75" customHeight="1">
      <c r="A319" s="1"/>
      <c r="B319" s="8" t="str">
        <f>Calendario!$B319</f>
        <v>4/1</v>
      </c>
      <c r="C319" s="8" t="str">
        <f>Calendario!$C319</f>
        <v>Monday</v>
      </c>
      <c r="D319" s="8" t="str">
        <f>Calendario!$D319</f>
        <v>12 Dias de Clamor para 12 Meses de Milagres</v>
      </c>
      <c r="E319" s="8" t="str">
        <f>Calendario!$E319</f>
        <v/>
      </c>
      <c r="F319" s="8" t="str">
        <f>Calendario!$F319</f>
        <v/>
      </c>
      <c r="G319" s="5"/>
      <c r="H319" s="6" t="str">
        <f t="shared" si="1"/>
        <v>1</v>
      </c>
      <c r="I319" s="6"/>
      <c r="J319" s="10" t="str">
        <f>'traspo ñ alterar'!$B319</f>
        <v>4/1/27</v>
      </c>
      <c r="K319" s="2" t="str">
        <f t="shared" si="2"/>
        <v>12 Dias de Clamor para 12 Meses de Milagres</v>
      </c>
      <c r="L319" s="6" t="str">
        <f t="shared" si="3"/>
        <v/>
      </c>
      <c r="M319" s="6" t="str">
        <f t="shared" si="4"/>
        <v/>
      </c>
      <c r="N319" s="6" t="str">
        <f t="shared" si="5"/>
        <v>MOSTRAR</v>
      </c>
    </row>
    <row r="320" ht="15.75" customHeight="1">
      <c r="A320" s="1"/>
      <c r="B320" s="8" t="str">
        <f>Calendario!$B320</f>
        <v/>
      </c>
      <c r="C320" s="8" t="str">
        <f>Calendario!$C320</f>
        <v/>
      </c>
      <c r="D320" s="8" t="str">
        <f>Calendario!$D320</f>
        <v/>
      </c>
      <c r="E320" s="8" t="str">
        <f>Calendario!$E320</f>
        <v/>
      </c>
      <c r="F320" s="8" t="str">
        <f>Calendario!$F320</f>
        <v/>
      </c>
      <c r="G320" s="5"/>
      <c r="H320" s="6" t="str">
        <f t="shared" si="1"/>
        <v>0</v>
      </c>
      <c r="I320" s="6"/>
      <c r="J320" s="10" t="str">
        <f>'traspo ñ alterar'!$B320</f>
        <v/>
      </c>
      <c r="K320" s="6" t="str">
        <f t="shared" si="2"/>
        <v/>
      </c>
      <c r="L320" s="6" t="str">
        <f t="shared" si="3"/>
        <v/>
      </c>
      <c r="M320" s="6" t="str">
        <f t="shared" si="4"/>
        <v/>
      </c>
      <c r="N320" s="6" t="str">
        <f t="shared" si="5"/>
        <v>OCULTAR</v>
      </c>
    </row>
    <row r="321" ht="15.75" customHeight="1">
      <c r="A321" s="1"/>
      <c r="B321" s="8" t="str">
        <f>Calendario!$B321</f>
        <v/>
      </c>
      <c r="C321" s="8" t="str">
        <f>Calendario!$C321</f>
        <v/>
      </c>
      <c r="D321" s="8" t="str">
        <f>Calendario!$D321</f>
        <v/>
      </c>
      <c r="E321" s="8" t="str">
        <f>Calendario!$E321</f>
        <v/>
      </c>
      <c r="F321" s="8" t="str">
        <f>Calendario!$F321</f>
        <v/>
      </c>
      <c r="G321" s="5"/>
      <c r="H321" s="6" t="str">
        <f t="shared" si="1"/>
        <v>0</v>
      </c>
      <c r="I321" s="6"/>
      <c r="J321" s="10" t="str">
        <f>'traspo ñ alterar'!$B321</f>
        <v/>
      </c>
      <c r="K321" s="6" t="str">
        <f t="shared" si="2"/>
        <v/>
      </c>
      <c r="L321" s="6" t="str">
        <f t="shared" si="3"/>
        <v/>
      </c>
      <c r="M321" s="6" t="str">
        <f t="shared" si="4"/>
        <v/>
      </c>
      <c r="N321" s="6" t="str">
        <f t="shared" si="5"/>
        <v>OCULTAR</v>
      </c>
    </row>
    <row r="322" ht="15.75" customHeight="1">
      <c r="A322" s="1"/>
      <c r="B322" s="8" t="str">
        <f>Calendario!$B322</f>
        <v/>
      </c>
      <c r="C322" s="8" t="str">
        <f>Calendario!$C322</f>
        <v/>
      </c>
      <c r="D322" s="8" t="str">
        <f>Calendario!$D322</f>
        <v/>
      </c>
      <c r="E322" s="8" t="str">
        <f>Calendario!$E322</f>
        <v/>
      </c>
      <c r="F322" s="8" t="str">
        <f>Calendario!$F322</f>
        <v/>
      </c>
      <c r="G322" s="5"/>
      <c r="H322" s="6" t="str">
        <f t="shared" si="1"/>
        <v>0</v>
      </c>
      <c r="I322" s="6"/>
      <c r="J322" s="10" t="str">
        <f>'traspo ñ alterar'!$B322</f>
        <v/>
      </c>
      <c r="K322" s="6" t="str">
        <f t="shared" si="2"/>
        <v/>
      </c>
      <c r="L322" s="6" t="str">
        <f t="shared" si="3"/>
        <v/>
      </c>
      <c r="M322" s="6" t="str">
        <f t="shared" si="4"/>
        <v/>
      </c>
      <c r="N322" s="6" t="str">
        <f t="shared" si="5"/>
        <v>OCULTAR</v>
      </c>
    </row>
    <row r="323" ht="15.75" customHeight="1">
      <c r="A323" s="1"/>
      <c r="B323" s="8" t="str">
        <f>Calendario!$B323</f>
        <v/>
      </c>
      <c r="C323" s="8" t="str">
        <f>Calendario!$C323</f>
        <v/>
      </c>
      <c r="D323" s="8" t="str">
        <f>Calendario!$D323</f>
        <v/>
      </c>
      <c r="E323" s="8" t="str">
        <f>Calendario!$E323</f>
        <v/>
      </c>
      <c r="F323" s="8" t="str">
        <f>Calendario!$F323</f>
        <v/>
      </c>
      <c r="G323" s="5"/>
      <c r="H323" s="6" t="str">
        <f t="shared" si="1"/>
        <v>0</v>
      </c>
      <c r="I323" s="6"/>
      <c r="J323" s="10" t="str">
        <f>'traspo ñ alterar'!$B323</f>
        <v/>
      </c>
      <c r="K323" s="6" t="str">
        <f t="shared" si="2"/>
        <v/>
      </c>
      <c r="L323" s="6" t="str">
        <f t="shared" si="3"/>
        <v/>
      </c>
      <c r="M323" s="6" t="str">
        <f t="shared" si="4"/>
        <v/>
      </c>
      <c r="N323" s="6" t="str">
        <f t="shared" si="5"/>
        <v>OCULTAR</v>
      </c>
    </row>
    <row r="324" ht="15.75" customHeight="1">
      <c r="A324" s="1"/>
      <c r="B324" s="8" t="str">
        <f>Calendario!$B324</f>
        <v/>
      </c>
      <c r="C324" s="8" t="str">
        <f>Calendario!$C324</f>
        <v/>
      </c>
      <c r="D324" s="8" t="str">
        <f>Calendario!$D324</f>
        <v/>
      </c>
      <c r="E324" s="8" t="str">
        <f>Calendario!$E324</f>
        <v/>
      </c>
      <c r="F324" s="8" t="str">
        <f>Calendario!$F324</f>
        <v/>
      </c>
      <c r="G324" s="5"/>
      <c r="H324" s="6" t="str">
        <f t="shared" si="1"/>
        <v>0</v>
      </c>
      <c r="I324" s="6"/>
      <c r="J324" s="10" t="str">
        <f>'traspo ñ alterar'!$B324</f>
        <v/>
      </c>
      <c r="K324" s="6" t="str">
        <f t="shared" si="2"/>
        <v/>
      </c>
      <c r="L324" s="6" t="str">
        <f t="shared" si="3"/>
        <v/>
      </c>
      <c r="M324" s="6" t="str">
        <f t="shared" si="4"/>
        <v/>
      </c>
      <c r="N324" s="6" t="str">
        <f t="shared" si="5"/>
        <v>OCULTAR</v>
      </c>
    </row>
    <row r="325" ht="15.75" customHeight="1">
      <c r="A325" s="1"/>
      <c r="B325" s="8" t="str">
        <f>Calendario!$B325</f>
        <v/>
      </c>
      <c r="C325" s="8" t="str">
        <f>Calendario!$C325</f>
        <v/>
      </c>
      <c r="D325" s="8" t="str">
        <f>Calendario!$D325</f>
        <v/>
      </c>
      <c r="E325" s="8" t="str">
        <f>Calendario!$E325</f>
        <v/>
      </c>
      <c r="F325" s="8" t="str">
        <f>Calendario!$F325</f>
        <v/>
      </c>
      <c r="G325" s="5"/>
      <c r="H325" s="6" t="str">
        <f t="shared" si="1"/>
        <v>0</v>
      </c>
      <c r="I325" s="6"/>
      <c r="J325" s="10" t="str">
        <f>'traspo ñ alterar'!$B325</f>
        <v/>
      </c>
      <c r="K325" s="6" t="str">
        <f t="shared" si="2"/>
        <v/>
      </c>
      <c r="L325" s="6" t="str">
        <f t="shared" si="3"/>
        <v/>
      </c>
      <c r="M325" s="6" t="str">
        <f t="shared" si="4"/>
        <v/>
      </c>
      <c r="N325" s="6" t="str">
        <f t="shared" si="5"/>
        <v>OCULTAR</v>
      </c>
    </row>
    <row r="326" ht="15.75" customHeight="1">
      <c r="A326" s="1"/>
      <c r="B326" s="8" t="str">
        <f>Calendario!$B326</f>
        <v/>
      </c>
      <c r="C326" s="8" t="str">
        <f>Calendario!$C326</f>
        <v/>
      </c>
      <c r="D326" s="8" t="str">
        <f>Calendario!$D326</f>
        <v/>
      </c>
      <c r="E326" s="8" t="str">
        <f>Calendario!$E326</f>
        <v/>
      </c>
      <c r="F326" s="8" t="str">
        <f>Calendario!$F326</f>
        <v/>
      </c>
      <c r="G326" s="5"/>
      <c r="H326" s="6" t="str">
        <f t="shared" si="1"/>
        <v>0</v>
      </c>
      <c r="I326" s="6"/>
      <c r="J326" s="10" t="str">
        <f>'traspo ñ alterar'!$B326</f>
        <v/>
      </c>
      <c r="K326" s="6" t="str">
        <f t="shared" si="2"/>
        <v/>
      </c>
      <c r="L326" s="6" t="str">
        <f t="shared" si="3"/>
        <v/>
      </c>
      <c r="M326" s="6" t="str">
        <f t="shared" si="4"/>
        <v/>
      </c>
      <c r="N326" s="6" t="str">
        <f t="shared" si="5"/>
        <v>OCULTAR</v>
      </c>
    </row>
    <row r="327" ht="15.75" customHeight="1">
      <c r="A327" s="1"/>
      <c r="B327" s="8" t="str">
        <f>Calendario!$B327</f>
        <v/>
      </c>
      <c r="C327" s="8" t="str">
        <f>Calendario!$C327</f>
        <v/>
      </c>
      <c r="D327" s="8" t="str">
        <f>Calendario!$D327</f>
        <v/>
      </c>
      <c r="E327" s="8" t="str">
        <f>Calendario!$E327</f>
        <v/>
      </c>
      <c r="F327" s="8" t="str">
        <f>Calendario!$F327</f>
        <v/>
      </c>
      <c r="G327" s="5"/>
      <c r="H327" s="6" t="str">
        <f t="shared" si="1"/>
        <v>0</v>
      </c>
      <c r="I327" s="6"/>
      <c r="J327" s="10" t="str">
        <f>'traspo ñ alterar'!$B327</f>
        <v/>
      </c>
      <c r="K327" s="6" t="str">
        <f t="shared" si="2"/>
        <v/>
      </c>
      <c r="L327" s="6" t="str">
        <f t="shared" si="3"/>
        <v/>
      </c>
      <c r="M327" s="6" t="str">
        <f t="shared" ref="M327:M328" si="6">IF($H501=3,D501,"")</f>
        <v/>
      </c>
      <c r="N327" s="6" t="str">
        <f t="shared" si="5"/>
        <v>OCULTAR</v>
      </c>
    </row>
    <row r="328" ht="15.75" customHeight="1">
      <c r="A328" s="1"/>
      <c r="B328" s="8" t="str">
        <f>Calendario!$B328</f>
        <v/>
      </c>
      <c r="C328" s="8" t="str">
        <f>Calendario!$C328</f>
        <v/>
      </c>
      <c r="D328" s="8" t="str">
        <f>Calendario!$D328</f>
        <v/>
      </c>
      <c r="E328" s="8" t="str">
        <f>Calendario!$E328</f>
        <v/>
      </c>
      <c r="F328" s="8" t="str">
        <f>Calendario!$F328</f>
        <v/>
      </c>
      <c r="G328" s="5"/>
      <c r="H328" s="11" t="str">
        <f>IF(COUNTIFS($B$2:$B500,B328)=1,1,COUNTIFS($B$2:$B500,B328))</f>
        <v>0</v>
      </c>
      <c r="I328" s="6"/>
      <c r="J328" s="10" t="str">
        <f>'traspo ñ alterar'!$B328</f>
        <v/>
      </c>
      <c r="K328" s="6" t="str">
        <f t="shared" si="2"/>
        <v/>
      </c>
      <c r="L328" s="6" t="str">
        <f>IF($H501=2,D501,"")</f>
        <v/>
      </c>
      <c r="M328" s="6" t="str">
        <f t="shared" si="6"/>
        <v/>
      </c>
      <c r="N328" s="6" t="str">
        <f t="shared" si="5"/>
        <v>OCULTAR</v>
      </c>
    </row>
    <row r="329" ht="15.75" customHeight="1">
      <c r="A329" s="1"/>
      <c r="B329" s="8" t="str">
        <f>Calendario!$B329</f>
        <v/>
      </c>
      <c r="C329" s="8" t="str">
        <f>Calendario!$C329</f>
        <v/>
      </c>
      <c r="D329" s="8" t="str">
        <f>Calendario!$D329</f>
        <v/>
      </c>
      <c r="E329" s="8" t="str">
        <f>Calendario!$E329</f>
        <v/>
      </c>
      <c r="F329" s="8" t="str">
        <f>Calendario!$F329</f>
        <v/>
      </c>
      <c r="G329" s="5"/>
      <c r="H329" s="6" t="str">
        <f t="shared" ref="H329:H500" si="7">IF(COUNTIFS($B$2:$B329,B329)=1,1,COUNTIFS($B$2:$B329,B329))</f>
        <v>0</v>
      </c>
      <c r="I329" s="6"/>
      <c r="J329" s="10" t="str">
        <f>'traspo ñ alterar'!$B329</f>
        <v/>
      </c>
      <c r="K329" s="6" t="str">
        <f t="shared" si="2"/>
        <v/>
      </c>
      <c r="L329" s="6" t="str">
        <f t="shared" ref="L329:L500" si="8">IF($H330=2,D330,"")</f>
        <v/>
      </c>
      <c r="M329" s="6" t="str">
        <f t="shared" ref="M329:M500" si="9">IF($H331=3,D331,"")</f>
        <v/>
      </c>
      <c r="N329" s="6" t="str">
        <f t="shared" si="5"/>
        <v>OCULTAR</v>
      </c>
    </row>
    <row r="330" ht="15.75" customHeight="1">
      <c r="A330" s="1"/>
      <c r="B330" s="8" t="str">
        <f>Calendario!$B330</f>
        <v/>
      </c>
      <c r="C330" s="8" t="str">
        <f>Calendario!$C330</f>
        <v/>
      </c>
      <c r="D330" s="8" t="str">
        <f>Calendario!$D330</f>
        <v/>
      </c>
      <c r="E330" s="8" t="str">
        <f>Calendario!$E330</f>
        <v/>
      </c>
      <c r="F330" s="8" t="str">
        <f>Calendario!$F330</f>
        <v/>
      </c>
      <c r="G330" s="5"/>
      <c r="H330" s="6" t="str">
        <f t="shared" si="7"/>
        <v>0</v>
      </c>
      <c r="I330" s="6"/>
      <c r="J330" s="10" t="str">
        <f>'traspo ñ alterar'!$B330</f>
        <v/>
      </c>
      <c r="K330" s="6" t="str">
        <f t="shared" si="2"/>
        <v/>
      </c>
      <c r="L330" s="6" t="str">
        <f t="shared" si="8"/>
        <v/>
      </c>
      <c r="M330" s="6" t="str">
        <f t="shared" si="9"/>
        <v/>
      </c>
      <c r="N330" s="6" t="str">
        <f t="shared" si="5"/>
        <v>OCULTAR</v>
      </c>
    </row>
    <row r="331" ht="15.75" customHeight="1">
      <c r="A331" s="1"/>
      <c r="B331" s="8" t="str">
        <f>Calendario!$B331</f>
        <v/>
      </c>
      <c r="C331" s="8" t="str">
        <f>Calendario!$C331</f>
        <v/>
      </c>
      <c r="D331" s="8" t="str">
        <f>Calendario!$D331</f>
        <v/>
      </c>
      <c r="E331" s="8" t="str">
        <f>Calendario!$E331</f>
        <v/>
      </c>
      <c r="F331" s="8" t="str">
        <f>Calendario!$F331</f>
        <v/>
      </c>
      <c r="G331" s="5"/>
      <c r="H331" s="6" t="str">
        <f t="shared" si="7"/>
        <v>0</v>
      </c>
      <c r="I331" s="6"/>
      <c r="J331" s="10" t="str">
        <f>'traspo ñ alterar'!$B331</f>
        <v/>
      </c>
      <c r="K331" s="6" t="str">
        <f t="shared" si="2"/>
        <v/>
      </c>
      <c r="L331" s="6" t="str">
        <f t="shared" si="8"/>
        <v/>
      </c>
      <c r="M331" s="6" t="str">
        <f t="shared" si="9"/>
        <v/>
      </c>
      <c r="N331" s="6" t="str">
        <f t="shared" si="5"/>
        <v>OCULTAR</v>
      </c>
    </row>
    <row r="332" ht="15.75" customHeight="1">
      <c r="A332" s="1"/>
      <c r="B332" s="8" t="str">
        <f>Calendario!$B332</f>
        <v/>
      </c>
      <c r="C332" s="8" t="str">
        <f>Calendario!$C332</f>
        <v/>
      </c>
      <c r="D332" s="8" t="str">
        <f>Calendario!$D332</f>
        <v/>
      </c>
      <c r="E332" s="8" t="str">
        <f>Calendario!$E332</f>
        <v/>
      </c>
      <c r="F332" s="8" t="str">
        <f>Calendario!$F332</f>
        <v/>
      </c>
      <c r="G332" s="5"/>
      <c r="H332" s="6" t="str">
        <f t="shared" si="7"/>
        <v>0</v>
      </c>
      <c r="I332" s="6"/>
      <c r="J332" s="10" t="str">
        <f>'traspo ñ alterar'!$B332</f>
        <v/>
      </c>
      <c r="K332" s="6" t="str">
        <f t="shared" si="2"/>
        <v/>
      </c>
      <c r="L332" s="6" t="str">
        <f t="shared" si="8"/>
        <v/>
      </c>
      <c r="M332" s="6" t="str">
        <f t="shared" si="9"/>
        <v/>
      </c>
      <c r="N332" s="6" t="str">
        <f t="shared" si="5"/>
        <v>OCULTAR</v>
      </c>
    </row>
    <row r="333" ht="15.75" customHeight="1">
      <c r="A333" s="1"/>
      <c r="B333" s="8" t="str">
        <f>Calendario!$B333</f>
        <v/>
      </c>
      <c r="C333" s="8" t="str">
        <f>Calendario!$C333</f>
        <v/>
      </c>
      <c r="D333" s="8" t="str">
        <f>Calendario!$D333</f>
        <v/>
      </c>
      <c r="E333" s="8" t="str">
        <f>Calendario!$E333</f>
        <v/>
      </c>
      <c r="F333" s="8" t="str">
        <f>Calendario!$F333</f>
        <v/>
      </c>
      <c r="G333" s="5"/>
      <c r="H333" s="6" t="str">
        <f t="shared" si="7"/>
        <v>0</v>
      </c>
      <c r="I333" s="6"/>
      <c r="J333" s="10" t="str">
        <f>'traspo ñ alterar'!$B333</f>
        <v/>
      </c>
      <c r="K333" s="6" t="str">
        <f t="shared" si="2"/>
        <v/>
      </c>
      <c r="L333" s="6" t="str">
        <f t="shared" si="8"/>
        <v/>
      </c>
      <c r="M333" s="6" t="str">
        <f t="shared" si="9"/>
        <v/>
      </c>
      <c r="N333" s="6" t="str">
        <f t="shared" si="5"/>
        <v>OCULTAR</v>
      </c>
    </row>
    <row r="334" ht="15.75" customHeight="1">
      <c r="A334" s="1"/>
      <c r="B334" s="8" t="str">
        <f>Calendario!$B334</f>
        <v/>
      </c>
      <c r="C334" s="8" t="str">
        <f>Calendario!$C334</f>
        <v/>
      </c>
      <c r="D334" s="8" t="str">
        <f>Calendario!$D334</f>
        <v/>
      </c>
      <c r="E334" s="8" t="str">
        <f>Calendario!$E334</f>
        <v/>
      </c>
      <c r="F334" s="8" t="str">
        <f>Calendario!$F334</f>
        <v/>
      </c>
      <c r="G334" s="5"/>
      <c r="H334" s="6" t="str">
        <f t="shared" si="7"/>
        <v>0</v>
      </c>
      <c r="I334" s="6"/>
      <c r="J334" s="10" t="str">
        <f>'traspo ñ alterar'!$B334</f>
        <v/>
      </c>
      <c r="K334" s="6" t="str">
        <f t="shared" si="2"/>
        <v/>
      </c>
      <c r="L334" s="6" t="str">
        <f t="shared" si="8"/>
        <v/>
      </c>
      <c r="M334" s="6" t="str">
        <f t="shared" si="9"/>
        <v/>
      </c>
      <c r="N334" s="6" t="str">
        <f t="shared" si="5"/>
        <v>OCULTAR</v>
      </c>
    </row>
    <row r="335" ht="15.75" customHeight="1">
      <c r="A335" s="1"/>
      <c r="B335" s="8" t="str">
        <f>Calendario!$B335</f>
        <v/>
      </c>
      <c r="C335" s="8" t="str">
        <f>Calendario!$C335</f>
        <v/>
      </c>
      <c r="D335" s="8" t="str">
        <f>Calendario!$D335</f>
        <v/>
      </c>
      <c r="E335" s="8" t="str">
        <f>Calendario!$E335</f>
        <v/>
      </c>
      <c r="F335" s="8" t="str">
        <f>Calendario!$F335</f>
        <v/>
      </c>
      <c r="G335" s="5"/>
      <c r="H335" s="6" t="str">
        <f t="shared" si="7"/>
        <v>0</v>
      </c>
      <c r="I335" s="6"/>
      <c r="J335" s="10" t="str">
        <f>'traspo ñ alterar'!$B335</f>
        <v/>
      </c>
      <c r="K335" s="6" t="str">
        <f t="shared" si="2"/>
        <v/>
      </c>
      <c r="L335" s="6" t="str">
        <f t="shared" si="8"/>
        <v/>
      </c>
      <c r="M335" s="6" t="str">
        <f t="shared" si="9"/>
        <v/>
      </c>
      <c r="N335" s="6" t="str">
        <f t="shared" si="5"/>
        <v>OCULTAR</v>
      </c>
    </row>
    <row r="336" ht="15.75" customHeight="1">
      <c r="A336" s="1"/>
      <c r="B336" s="8" t="str">
        <f>Calendario!$B336</f>
        <v/>
      </c>
      <c r="C336" s="8" t="str">
        <f>Calendario!$C336</f>
        <v/>
      </c>
      <c r="D336" s="8" t="str">
        <f>Calendario!$D336</f>
        <v/>
      </c>
      <c r="E336" s="8" t="str">
        <f>Calendario!$E336</f>
        <v/>
      </c>
      <c r="F336" s="8" t="str">
        <f>Calendario!$F336</f>
        <v/>
      </c>
      <c r="G336" s="5"/>
      <c r="H336" s="6" t="str">
        <f t="shared" si="7"/>
        <v>0</v>
      </c>
      <c r="I336" s="6"/>
      <c r="J336" s="10" t="str">
        <f>'traspo ñ alterar'!$B336</f>
        <v/>
      </c>
      <c r="K336" s="6" t="str">
        <f t="shared" si="2"/>
        <v/>
      </c>
      <c r="L336" s="6" t="str">
        <f t="shared" si="8"/>
        <v/>
      </c>
      <c r="M336" s="6" t="str">
        <f t="shared" si="9"/>
        <v/>
      </c>
      <c r="N336" s="6" t="str">
        <f t="shared" si="5"/>
        <v>OCULTAR</v>
      </c>
    </row>
    <row r="337" ht="15.75" customHeight="1">
      <c r="A337" s="1"/>
      <c r="B337" s="8" t="str">
        <f>Calendario!$B337</f>
        <v/>
      </c>
      <c r="C337" s="8" t="str">
        <f>Calendario!$C337</f>
        <v/>
      </c>
      <c r="D337" s="8" t="str">
        <f>Calendario!$D337</f>
        <v/>
      </c>
      <c r="E337" s="8" t="str">
        <f>Calendario!$E337</f>
        <v/>
      </c>
      <c r="F337" s="8" t="str">
        <f>Calendario!$F337</f>
        <v/>
      </c>
      <c r="G337" s="5"/>
      <c r="H337" s="6" t="str">
        <f t="shared" si="7"/>
        <v>0</v>
      </c>
      <c r="I337" s="6"/>
      <c r="J337" s="10" t="str">
        <f>'traspo ñ alterar'!$B337</f>
        <v/>
      </c>
      <c r="K337" s="6" t="str">
        <f t="shared" si="2"/>
        <v/>
      </c>
      <c r="L337" s="6" t="str">
        <f t="shared" si="8"/>
        <v/>
      </c>
      <c r="M337" s="6" t="str">
        <f t="shared" si="9"/>
        <v/>
      </c>
      <c r="N337" s="6" t="str">
        <f t="shared" si="5"/>
        <v>OCULTAR</v>
      </c>
    </row>
    <row r="338" ht="15.75" customHeight="1">
      <c r="A338" s="1"/>
      <c r="B338" s="8" t="str">
        <f>Calendario!$B338</f>
        <v/>
      </c>
      <c r="C338" s="8" t="str">
        <f>Calendario!$C338</f>
        <v/>
      </c>
      <c r="D338" s="8" t="str">
        <f>Calendario!$D338</f>
        <v/>
      </c>
      <c r="E338" s="8" t="str">
        <f>Calendario!$E338</f>
        <v/>
      </c>
      <c r="F338" s="8" t="str">
        <f>Calendario!$F338</f>
        <v/>
      </c>
      <c r="G338" s="5"/>
      <c r="H338" s="6" t="str">
        <f t="shared" si="7"/>
        <v>0</v>
      </c>
      <c r="I338" s="6"/>
      <c r="J338" s="10" t="str">
        <f>'traspo ñ alterar'!$B338</f>
        <v/>
      </c>
      <c r="K338" s="6" t="str">
        <f t="shared" si="2"/>
        <v/>
      </c>
      <c r="L338" s="6" t="str">
        <f t="shared" si="8"/>
        <v/>
      </c>
      <c r="M338" s="6" t="str">
        <f t="shared" si="9"/>
        <v/>
      </c>
      <c r="N338" s="6" t="str">
        <f t="shared" si="5"/>
        <v>OCULTAR</v>
      </c>
    </row>
    <row r="339" ht="15.75" customHeight="1">
      <c r="A339" s="1"/>
      <c r="B339" s="8" t="str">
        <f>Calendario!$B339</f>
        <v/>
      </c>
      <c r="C339" s="8" t="str">
        <f>Calendario!$C339</f>
        <v/>
      </c>
      <c r="D339" s="8" t="str">
        <f>Calendario!$D339</f>
        <v/>
      </c>
      <c r="E339" s="8" t="str">
        <f>Calendario!$E339</f>
        <v/>
      </c>
      <c r="F339" s="8" t="str">
        <f>Calendario!$F339</f>
        <v/>
      </c>
      <c r="G339" s="5"/>
      <c r="H339" s="6" t="str">
        <f t="shared" si="7"/>
        <v>0</v>
      </c>
      <c r="I339" s="6"/>
      <c r="J339" s="10" t="str">
        <f>'traspo ñ alterar'!$B339</f>
        <v/>
      </c>
      <c r="K339" s="6" t="str">
        <f t="shared" si="2"/>
        <v/>
      </c>
      <c r="L339" s="6" t="str">
        <f t="shared" si="8"/>
        <v/>
      </c>
      <c r="M339" s="6" t="str">
        <f t="shared" si="9"/>
        <v/>
      </c>
      <c r="N339" s="6" t="str">
        <f t="shared" si="5"/>
        <v>OCULTAR</v>
      </c>
    </row>
    <row r="340" ht="15.75" customHeight="1">
      <c r="A340" s="1"/>
      <c r="B340" s="8" t="str">
        <f>Calendario!$B340</f>
        <v/>
      </c>
      <c r="C340" s="8" t="str">
        <f>Calendario!$C340</f>
        <v/>
      </c>
      <c r="D340" s="8" t="str">
        <f>Calendario!$D340</f>
        <v/>
      </c>
      <c r="E340" s="8" t="str">
        <f>Calendario!$E340</f>
        <v/>
      </c>
      <c r="F340" s="8" t="str">
        <f>Calendario!$F340</f>
        <v/>
      </c>
      <c r="G340" s="5"/>
      <c r="H340" s="6" t="str">
        <f t="shared" si="7"/>
        <v>0</v>
      </c>
      <c r="I340" s="6"/>
      <c r="J340" s="10" t="str">
        <f>'traspo ñ alterar'!$B340</f>
        <v/>
      </c>
      <c r="K340" s="6" t="str">
        <f t="shared" si="2"/>
        <v/>
      </c>
      <c r="L340" s="6" t="str">
        <f t="shared" si="8"/>
        <v/>
      </c>
      <c r="M340" s="6" t="str">
        <f t="shared" si="9"/>
        <v/>
      </c>
      <c r="N340" s="6" t="str">
        <f t="shared" si="5"/>
        <v>OCULTAR</v>
      </c>
    </row>
    <row r="341" ht="15.75" customHeight="1">
      <c r="A341" s="1"/>
      <c r="B341" s="8" t="str">
        <f>Calendario!$B341</f>
        <v/>
      </c>
      <c r="C341" s="8" t="str">
        <f>Calendario!$C341</f>
        <v/>
      </c>
      <c r="D341" s="8" t="str">
        <f>Calendario!$D341</f>
        <v/>
      </c>
      <c r="E341" s="8" t="str">
        <f>Calendario!$E341</f>
        <v/>
      </c>
      <c r="F341" s="8" t="str">
        <f>Calendario!$F341</f>
        <v/>
      </c>
      <c r="G341" s="5"/>
      <c r="H341" s="6" t="str">
        <f t="shared" si="7"/>
        <v>0</v>
      </c>
      <c r="I341" s="6"/>
      <c r="J341" s="10" t="str">
        <f>'traspo ñ alterar'!$B341</f>
        <v/>
      </c>
      <c r="K341" s="6" t="str">
        <f t="shared" si="2"/>
        <v/>
      </c>
      <c r="L341" s="6" t="str">
        <f t="shared" si="8"/>
        <v/>
      </c>
      <c r="M341" s="6" t="str">
        <f t="shared" si="9"/>
        <v/>
      </c>
      <c r="N341" s="6" t="str">
        <f t="shared" si="5"/>
        <v>OCULTAR</v>
      </c>
    </row>
    <row r="342" ht="15.75" customHeight="1">
      <c r="A342" s="1"/>
      <c r="B342" s="8" t="str">
        <f>Calendario!$B342</f>
        <v/>
      </c>
      <c r="C342" s="8" t="str">
        <f>Calendario!$C342</f>
        <v/>
      </c>
      <c r="D342" s="8" t="str">
        <f>Calendario!$D342</f>
        <v/>
      </c>
      <c r="E342" s="8" t="str">
        <f>Calendario!$E342</f>
        <v/>
      </c>
      <c r="F342" s="8" t="str">
        <f>Calendario!$F342</f>
        <v/>
      </c>
      <c r="G342" s="5"/>
      <c r="H342" s="6" t="str">
        <f t="shared" si="7"/>
        <v>0</v>
      </c>
      <c r="I342" s="6"/>
      <c r="J342" s="10" t="str">
        <f>'traspo ñ alterar'!$B342</f>
        <v/>
      </c>
      <c r="K342" s="6" t="str">
        <f t="shared" si="2"/>
        <v/>
      </c>
      <c r="L342" s="6" t="str">
        <f t="shared" si="8"/>
        <v/>
      </c>
      <c r="M342" s="6" t="str">
        <f t="shared" si="9"/>
        <v/>
      </c>
      <c r="N342" s="6" t="str">
        <f t="shared" si="5"/>
        <v>OCULTAR</v>
      </c>
    </row>
    <row r="343" ht="15.75" customHeight="1">
      <c r="A343" s="1"/>
      <c r="B343" s="8" t="str">
        <f>Calendario!$B343</f>
        <v/>
      </c>
      <c r="C343" s="8" t="str">
        <f>Calendario!$C343</f>
        <v/>
      </c>
      <c r="D343" s="8" t="str">
        <f>Calendario!$D343</f>
        <v/>
      </c>
      <c r="E343" s="8" t="str">
        <f>Calendario!$E343</f>
        <v/>
      </c>
      <c r="F343" s="8" t="str">
        <f>Calendario!$F343</f>
        <v/>
      </c>
      <c r="G343" s="5"/>
      <c r="H343" s="6" t="str">
        <f t="shared" si="7"/>
        <v>0</v>
      </c>
      <c r="I343" s="6"/>
      <c r="J343" s="10" t="str">
        <f>'traspo ñ alterar'!$B343</f>
        <v/>
      </c>
      <c r="K343" s="6" t="str">
        <f t="shared" si="2"/>
        <v/>
      </c>
      <c r="L343" s="6" t="str">
        <f t="shared" si="8"/>
        <v/>
      </c>
      <c r="M343" s="6" t="str">
        <f t="shared" si="9"/>
        <v/>
      </c>
      <c r="N343" s="6" t="str">
        <f t="shared" si="5"/>
        <v>OCULTAR</v>
      </c>
    </row>
    <row r="344" ht="15.75" customHeight="1">
      <c r="A344" s="1"/>
      <c r="B344" s="8" t="str">
        <f>Calendario!$B344</f>
        <v/>
      </c>
      <c r="C344" s="8" t="str">
        <f>Calendario!$C344</f>
        <v/>
      </c>
      <c r="D344" s="8" t="str">
        <f>Calendario!$D344</f>
        <v/>
      </c>
      <c r="E344" s="8" t="str">
        <f>Calendario!$E344</f>
        <v/>
      </c>
      <c r="F344" s="8" t="str">
        <f>Calendario!$F344</f>
        <v/>
      </c>
      <c r="G344" s="5"/>
      <c r="H344" s="6" t="str">
        <f t="shared" si="7"/>
        <v>0</v>
      </c>
      <c r="I344" s="6"/>
      <c r="J344" s="10" t="str">
        <f>'traspo ñ alterar'!$B344</f>
        <v/>
      </c>
      <c r="K344" s="6" t="str">
        <f t="shared" si="2"/>
        <v/>
      </c>
      <c r="L344" s="6" t="str">
        <f t="shared" si="8"/>
        <v/>
      </c>
      <c r="M344" s="6" t="str">
        <f t="shared" si="9"/>
        <v/>
      </c>
      <c r="N344" s="6" t="str">
        <f t="shared" si="5"/>
        <v>OCULTAR</v>
      </c>
    </row>
    <row r="345" ht="15.75" customHeight="1">
      <c r="A345" s="1"/>
      <c r="B345" s="8" t="str">
        <f>Calendario!$B345</f>
        <v/>
      </c>
      <c r="C345" s="8" t="str">
        <f>Calendario!$C345</f>
        <v/>
      </c>
      <c r="D345" s="8" t="str">
        <f>Calendario!$D345</f>
        <v/>
      </c>
      <c r="E345" s="8" t="str">
        <f>Calendario!$E345</f>
        <v/>
      </c>
      <c r="F345" s="8" t="str">
        <f>Calendario!$F345</f>
        <v/>
      </c>
      <c r="G345" s="5"/>
      <c r="H345" s="6" t="str">
        <f t="shared" si="7"/>
        <v>0</v>
      </c>
      <c r="I345" s="6"/>
      <c r="J345" s="10" t="str">
        <f>'traspo ñ alterar'!$B345</f>
        <v/>
      </c>
      <c r="K345" s="6" t="str">
        <f t="shared" si="2"/>
        <v/>
      </c>
      <c r="L345" s="6" t="str">
        <f t="shared" si="8"/>
        <v/>
      </c>
      <c r="M345" s="6" t="str">
        <f t="shared" si="9"/>
        <v/>
      </c>
      <c r="N345" s="6" t="str">
        <f t="shared" si="5"/>
        <v>OCULTAR</v>
      </c>
    </row>
    <row r="346" ht="15.75" customHeight="1">
      <c r="A346" s="1"/>
      <c r="B346" s="8" t="str">
        <f>Calendario!$B346</f>
        <v/>
      </c>
      <c r="C346" s="8" t="str">
        <f>Calendario!$C346</f>
        <v/>
      </c>
      <c r="D346" s="8" t="str">
        <f>Calendario!$D346</f>
        <v/>
      </c>
      <c r="E346" s="8" t="str">
        <f>Calendario!$E346</f>
        <v/>
      </c>
      <c r="F346" s="8" t="str">
        <f>Calendario!$F346</f>
        <v/>
      </c>
      <c r="G346" s="5"/>
      <c r="H346" s="6" t="str">
        <f t="shared" si="7"/>
        <v>0</v>
      </c>
      <c r="I346" s="6"/>
      <c r="J346" s="10" t="str">
        <f>'traspo ñ alterar'!$B346</f>
        <v/>
      </c>
      <c r="K346" s="6" t="str">
        <f t="shared" si="2"/>
        <v/>
      </c>
      <c r="L346" s="6" t="str">
        <f t="shared" si="8"/>
        <v/>
      </c>
      <c r="M346" s="6" t="str">
        <f t="shared" si="9"/>
        <v/>
      </c>
      <c r="N346" s="6" t="str">
        <f t="shared" si="5"/>
        <v>OCULTAR</v>
      </c>
    </row>
    <row r="347" ht="15.75" customHeight="1">
      <c r="A347" s="1"/>
      <c r="B347" s="8" t="str">
        <f>Calendario!$B347</f>
        <v/>
      </c>
      <c r="C347" s="8" t="str">
        <f>Calendario!$C347</f>
        <v/>
      </c>
      <c r="D347" s="8" t="str">
        <f>Calendario!$D347</f>
        <v/>
      </c>
      <c r="E347" s="8" t="str">
        <f>Calendario!$E347</f>
        <v/>
      </c>
      <c r="F347" s="8" t="str">
        <f>Calendario!$F347</f>
        <v/>
      </c>
      <c r="G347" s="5"/>
      <c r="H347" s="6" t="str">
        <f t="shared" si="7"/>
        <v>0</v>
      </c>
      <c r="I347" s="6"/>
      <c r="J347" s="10" t="str">
        <f>'traspo ñ alterar'!$B347</f>
        <v/>
      </c>
      <c r="K347" s="6" t="str">
        <f t="shared" si="2"/>
        <v/>
      </c>
      <c r="L347" s="6" t="str">
        <f t="shared" si="8"/>
        <v/>
      </c>
      <c r="M347" s="6" t="str">
        <f t="shared" si="9"/>
        <v/>
      </c>
      <c r="N347" s="6" t="str">
        <f t="shared" si="5"/>
        <v>OCULTAR</v>
      </c>
    </row>
    <row r="348" ht="15.75" customHeight="1">
      <c r="A348" s="1"/>
      <c r="B348" s="8" t="str">
        <f>Calendario!$B348</f>
        <v/>
      </c>
      <c r="C348" s="8" t="str">
        <f>Calendario!$C348</f>
        <v/>
      </c>
      <c r="D348" s="8" t="str">
        <f>Calendario!$D348</f>
        <v/>
      </c>
      <c r="E348" s="8" t="str">
        <f>Calendario!$E348</f>
        <v/>
      </c>
      <c r="F348" s="8" t="str">
        <f>Calendario!$F348</f>
        <v/>
      </c>
      <c r="G348" s="5"/>
      <c r="H348" s="6" t="str">
        <f t="shared" si="7"/>
        <v>0</v>
      </c>
      <c r="I348" s="6"/>
      <c r="J348" s="10" t="str">
        <f>'traspo ñ alterar'!$B348</f>
        <v/>
      </c>
      <c r="K348" s="6" t="str">
        <f t="shared" si="2"/>
        <v/>
      </c>
      <c r="L348" s="6" t="str">
        <f t="shared" si="8"/>
        <v/>
      </c>
      <c r="M348" s="6" t="str">
        <f t="shared" si="9"/>
        <v/>
      </c>
      <c r="N348" s="6" t="str">
        <f t="shared" si="5"/>
        <v>OCULTAR</v>
      </c>
    </row>
    <row r="349" ht="15.75" customHeight="1">
      <c r="A349" s="1"/>
      <c r="B349" s="8" t="str">
        <f>Calendario!$B349</f>
        <v/>
      </c>
      <c r="C349" s="8" t="str">
        <f>Calendario!$C349</f>
        <v/>
      </c>
      <c r="D349" s="8" t="str">
        <f>Calendario!$D349</f>
        <v/>
      </c>
      <c r="E349" s="8" t="str">
        <f>Calendario!$E349</f>
        <v/>
      </c>
      <c r="F349" s="8" t="str">
        <f>Calendario!$F349</f>
        <v/>
      </c>
      <c r="G349" s="5"/>
      <c r="H349" s="6" t="str">
        <f t="shared" si="7"/>
        <v>0</v>
      </c>
      <c r="I349" s="6"/>
      <c r="J349" s="10" t="str">
        <f>'traspo ñ alterar'!$B349</f>
        <v/>
      </c>
      <c r="K349" s="6" t="str">
        <f t="shared" si="2"/>
        <v/>
      </c>
      <c r="L349" s="6" t="str">
        <f t="shared" si="8"/>
        <v/>
      </c>
      <c r="M349" s="6" t="str">
        <f t="shared" si="9"/>
        <v/>
      </c>
      <c r="N349" s="6" t="str">
        <f t="shared" si="5"/>
        <v>OCULTAR</v>
      </c>
    </row>
    <row r="350" ht="15.75" customHeight="1">
      <c r="A350" s="1"/>
      <c r="B350" s="8" t="str">
        <f>Calendario!$B350</f>
        <v/>
      </c>
      <c r="C350" s="8" t="str">
        <f>Calendario!$C350</f>
        <v/>
      </c>
      <c r="D350" s="8" t="str">
        <f>Calendario!$D350</f>
        <v/>
      </c>
      <c r="E350" s="8" t="str">
        <f>Calendario!$E350</f>
        <v/>
      </c>
      <c r="F350" s="8" t="str">
        <f>Calendario!$F350</f>
        <v/>
      </c>
      <c r="G350" s="5"/>
      <c r="H350" s="6" t="str">
        <f t="shared" si="7"/>
        <v>0</v>
      </c>
      <c r="I350" s="6"/>
      <c r="J350" s="10" t="str">
        <f>'traspo ñ alterar'!$B350</f>
        <v/>
      </c>
      <c r="K350" s="6" t="str">
        <f t="shared" si="2"/>
        <v/>
      </c>
      <c r="L350" s="6" t="str">
        <f t="shared" si="8"/>
        <v/>
      </c>
      <c r="M350" s="6" t="str">
        <f t="shared" si="9"/>
        <v/>
      </c>
      <c r="N350" s="6" t="str">
        <f t="shared" si="5"/>
        <v>OCULTAR</v>
      </c>
    </row>
    <row r="351" ht="15.75" customHeight="1">
      <c r="A351" s="1"/>
      <c r="B351" s="8" t="str">
        <f>Calendario!$B351</f>
        <v/>
      </c>
      <c r="C351" s="8" t="str">
        <f>Calendario!$C351</f>
        <v/>
      </c>
      <c r="D351" s="8" t="str">
        <f>Calendario!$D351</f>
        <v/>
      </c>
      <c r="E351" s="8" t="str">
        <f>Calendario!$E351</f>
        <v/>
      </c>
      <c r="F351" s="8" t="str">
        <f>Calendario!$F351</f>
        <v/>
      </c>
      <c r="G351" s="5"/>
      <c r="H351" s="6" t="str">
        <f t="shared" si="7"/>
        <v>0</v>
      </c>
      <c r="I351" s="6"/>
      <c r="J351" s="10" t="str">
        <f>'traspo ñ alterar'!$B351</f>
        <v/>
      </c>
      <c r="K351" s="6" t="str">
        <f t="shared" si="2"/>
        <v/>
      </c>
      <c r="L351" s="6" t="str">
        <f t="shared" si="8"/>
        <v/>
      </c>
      <c r="M351" s="6" t="str">
        <f t="shared" si="9"/>
        <v/>
      </c>
      <c r="N351" s="6" t="str">
        <f t="shared" si="5"/>
        <v>OCULTAR</v>
      </c>
    </row>
    <row r="352" ht="15.75" customHeight="1">
      <c r="A352" s="1"/>
      <c r="B352" s="8" t="str">
        <f>Calendario!$B352</f>
        <v/>
      </c>
      <c r="C352" s="8" t="str">
        <f>Calendario!$C352</f>
        <v/>
      </c>
      <c r="D352" s="8" t="str">
        <f>Calendario!$D352</f>
        <v/>
      </c>
      <c r="E352" s="8" t="str">
        <f>Calendario!$E352</f>
        <v/>
      </c>
      <c r="F352" s="8" t="str">
        <f>Calendario!$F352</f>
        <v/>
      </c>
      <c r="G352" s="5"/>
      <c r="H352" s="6" t="str">
        <f t="shared" si="7"/>
        <v>0</v>
      </c>
      <c r="I352" s="6"/>
      <c r="J352" s="10" t="str">
        <f>'traspo ñ alterar'!$B352</f>
        <v/>
      </c>
      <c r="K352" s="6" t="str">
        <f t="shared" si="2"/>
        <v/>
      </c>
      <c r="L352" s="6" t="str">
        <f t="shared" si="8"/>
        <v/>
      </c>
      <c r="M352" s="6" t="str">
        <f t="shared" si="9"/>
        <v/>
      </c>
      <c r="N352" s="6" t="str">
        <f t="shared" si="5"/>
        <v>OCULTAR</v>
      </c>
    </row>
    <row r="353" ht="15.75" customHeight="1">
      <c r="A353" s="1"/>
      <c r="B353" s="8" t="str">
        <f>Calendario!$B353</f>
        <v/>
      </c>
      <c r="C353" s="8" t="str">
        <f>Calendario!$C353</f>
        <v/>
      </c>
      <c r="D353" s="8" t="str">
        <f>Calendario!$D353</f>
        <v/>
      </c>
      <c r="E353" s="8" t="str">
        <f>Calendario!$E353</f>
        <v/>
      </c>
      <c r="F353" s="8" t="str">
        <f>Calendario!$F353</f>
        <v/>
      </c>
      <c r="G353" s="5"/>
      <c r="H353" s="6" t="str">
        <f t="shared" si="7"/>
        <v>0</v>
      </c>
      <c r="I353" s="6"/>
      <c r="J353" s="10" t="str">
        <f>'traspo ñ alterar'!$B353</f>
        <v/>
      </c>
      <c r="K353" s="6" t="str">
        <f t="shared" si="2"/>
        <v/>
      </c>
      <c r="L353" s="6" t="str">
        <f t="shared" si="8"/>
        <v/>
      </c>
      <c r="M353" s="6" t="str">
        <f t="shared" si="9"/>
        <v/>
      </c>
      <c r="N353" s="6" t="str">
        <f t="shared" si="5"/>
        <v>OCULTAR</v>
      </c>
    </row>
    <row r="354" ht="15.75" customHeight="1">
      <c r="A354" s="1"/>
      <c r="B354" s="8" t="str">
        <f>Calendario!$B354</f>
        <v/>
      </c>
      <c r="C354" s="8" t="str">
        <f>Calendario!$C354</f>
        <v/>
      </c>
      <c r="D354" s="8" t="str">
        <f>Calendario!$D354</f>
        <v/>
      </c>
      <c r="E354" s="8" t="str">
        <f>Calendario!$E354</f>
        <v/>
      </c>
      <c r="F354" s="8" t="str">
        <f>Calendario!$F354</f>
        <v/>
      </c>
      <c r="G354" s="5"/>
      <c r="H354" s="6" t="str">
        <f t="shared" si="7"/>
        <v>0</v>
      </c>
      <c r="I354" s="6"/>
      <c r="J354" s="10" t="str">
        <f>'traspo ñ alterar'!$B354</f>
        <v/>
      </c>
      <c r="K354" s="6" t="str">
        <f t="shared" si="2"/>
        <v/>
      </c>
      <c r="L354" s="6" t="str">
        <f t="shared" si="8"/>
        <v/>
      </c>
      <c r="M354" s="6" t="str">
        <f t="shared" si="9"/>
        <v/>
      </c>
      <c r="N354" s="6" t="str">
        <f t="shared" si="5"/>
        <v>OCULTAR</v>
      </c>
    </row>
    <row r="355" ht="15.75" customHeight="1">
      <c r="A355" s="1"/>
      <c r="B355" s="8" t="str">
        <f>Calendario!$B355</f>
        <v/>
      </c>
      <c r="C355" s="8" t="str">
        <f>Calendario!$C355</f>
        <v/>
      </c>
      <c r="D355" s="8" t="str">
        <f>Calendario!$D355</f>
        <v/>
      </c>
      <c r="E355" s="8" t="str">
        <f>Calendario!$E355</f>
        <v/>
      </c>
      <c r="F355" s="8" t="str">
        <f>Calendario!$F355</f>
        <v/>
      </c>
      <c r="G355" s="5"/>
      <c r="H355" s="6" t="str">
        <f t="shared" si="7"/>
        <v>0</v>
      </c>
      <c r="I355" s="6"/>
      <c r="J355" s="10" t="str">
        <f>'traspo ñ alterar'!$B355</f>
        <v/>
      </c>
      <c r="K355" s="6" t="str">
        <f t="shared" si="2"/>
        <v/>
      </c>
      <c r="L355" s="6" t="str">
        <f t="shared" si="8"/>
        <v/>
      </c>
      <c r="M355" s="6" t="str">
        <f t="shared" si="9"/>
        <v/>
      </c>
      <c r="N355" s="6" t="str">
        <f t="shared" si="5"/>
        <v>OCULTAR</v>
      </c>
    </row>
    <row r="356" ht="15.75" customHeight="1">
      <c r="A356" s="1"/>
      <c r="B356" s="8" t="str">
        <f>Calendario!$B356</f>
        <v/>
      </c>
      <c r="C356" s="8" t="str">
        <f>Calendario!$C356</f>
        <v/>
      </c>
      <c r="D356" s="8" t="str">
        <f>Calendario!$D356</f>
        <v/>
      </c>
      <c r="E356" s="8" t="str">
        <f>Calendario!$E356</f>
        <v/>
      </c>
      <c r="F356" s="8" t="str">
        <f>Calendario!$F356</f>
        <v/>
      </c>
      <c r="G356" s="5"/>
      <c r="H356" s="6" t="str">
        <f t="shared" si="7"/>
        <v>0</v>
      </c>
      <c r="I356" s="6"/>
      <c r="J356" s="10" t="str">
        <f>'traspo ñ alterar'!$B356</f>
        <v/>
      </c>
      <c r="K356" s="6" t="str">
        <f t="shared" si="2"/>
        <v/>
      </c>
      <c r="L356" s="6" t="str">
        <f t="shared" si="8"/>
        <v/>
      </c>
      <c r="M356" s="6" t="str">
        <f t="shared" si="9"/>
        <v/>
      </c>
      <c r="N356" s="6" t="str">
        <f t="shared" si="5"/>
        <v>OCULTAR</v>
      </c>
    </row>
    <row r="357" ht="15.75" customHeight="1">
      <c r="A357" s="1"/>
      <c r="B357" s="8" t="str">
        <f>Calendario!$B357</f>
        <v/>
      </c>
      <c r="C357" s="8" t="str">
        <f>Calendario!$C357</f>
        <v/>
      </c>
      <c r="D357" s="8" t="str">
        <f>Calendario!$D357</f>
        <v/>
      </c>
      <c r="E357" s="8" t="str">
        <f>Calendario!$E357</f>
        <v/>
      </c>
      <c r="F357" s="8" t="str">
        <f>Calendario!$F357</f>
        <v/>
      </c>
      <c r="G357" s="5"/>
      <c r="H357" s="6" t="str">
        <f t="shared" si="7"/>
        <v>0</v>
      </c>
      <c r="I357" s="6"/>
      <c r="J357" s="10" t="str">
        <f>'traspo ñ alterar'!$B357</f>
        <v/>
      </c>
      <c r="K357" s="6" t="str">
        <f t="shared" si="2"/>
        <v/>
      </c>
      <c r="L357" s="6" t="str">
        <f t="shared" si="8"/>
        <v/>
      </c>
      <c r="M357" s="6" t="str">
        <f t="shared" si="9"/>
        <v/>
      </c>
      <c r="N357" s="6" t="str">
        <f t="shared" si="5"/>
        <v>OCULTAR</v>
      </c>
    </row>
    <row r="358" ht="15.75" customHeight="1">
      <c r="A358" s="1"/>
      <c r="B358" s="8" t="str">
        <f>Calendario!$B358</f>
        <v/>
      </c>
      <c r="C358" s="8" t="str">
        <f>Calendario!$C358</f>
        <v/>
      </c>
      <c r="D358" s="8" t="str">
        <f>Calendario!$D358</f>
        <v/>
      </c>
      <c r="E358" s="8" t="str">
        <f>Calendario!$E358</f>
        <v/>
      </c>
      <c r="F358" s="8" t="str">
        <f>Calendario!$F358</f>
        <v/>
      </c>
      <c r="G358" s="5"/>
      <c r="H358" s="6" t="str">
        <f t="shared" si="7"/>
        <v>0</v>
      </c>
      <c r="I358" s="6"/>
      <c r="J358" s="10" t="str">
        <f>'traspo ñ alterar'!$B358</f>
        <v/>
      </c>
      <c r="K358" s="6" t="str">
        <f t="shared" si="2"/>
        <v/>
      </c>
      <c r="L358" s="6" t="str">
        <f t="shared" si="8"/>
        <v/>
      </c>
      <c r="M358" s="6" t="str">
        <f t="shared" si="9"/>
        <v/>
      </c>
      <c r="N358" s="6" t="str">
        <f t="shared" si="5"/>
        <v>OCULTAR</v>
      </c>
    </row>
    <row r="359" ht="15.75" customHeight="1">
      <c r="A359" s="1"/>
      <c r="B359" s="8" t="str">
        <f>Calendario!$B359</f>
        <v/>
      </c>
      <c r="C359" s="8" t="str">
        <f>Calendario!$C359</f>
        <v/>
      </c>
      <c r="D359" s="8" t="str">
        <f>Calendario!$D359</f>
        <v/>
      </c>
      <c r="E359" s="8" t="str">
        <f>Calendario!$E359</f>
        <v/>
      </c>
      <c r="F359" s="8" t="str">
        <f>Calendario!$F359</f>
        <v/>
      </c>
      <c r="G359" s="5"/>
      <c r="H359" s="6" t="str">
        <f t="shared" si="7"/>
        <v>0</v>
      </c>
      <c r="I359" s="6"/>
      <c r="J359" s="10" t="str">
        <f>'traspo ñ alterar'!$B359</f>
        <v/>
      </c>
      <c r="K359" s="6" t="str">
        <f t="shared" si="2"/>
        <v/>
      </c>
      <c r="L359" s="6" t="str">
        <f t="shared" si="8"/>
        <v/>
      </c>
      <c r="M359" s="6" t="str">
        <f t="shared" si="9"/>
        <v/>
      </c>
      <c r="N359" s="6" t="str">
        <f t="shared" si="5"/>
        <v>OCULTAR</v>
      </c>
    </row>
    <row r="360" ht="15.75" customHeight="1">
      <c r="A360" s="1"/>
      <c r="B360" s="8" t="str">
        <f>Calendario!$B360</f>
        <v/>
      </c>
      <c r="C360" s="8" t="str">
        <f>Calendario!$C360</f>
        <v/>
      </c>
      <c r="D360" s="8" t="str">
        <f>Calendario!$D360</f>
        <v/>
      </c>
      <c r="E360" s="8" t="str">
        <f>Calendario!$E360</f>
        <v/>
      </c>
      <c r="F360" s="8" t="str">
        <f>Calendario!$F360</f>
        <v/>
      </c>
      <c r="G360" s="5"/>
      <c r="H360" s="6" t="str">
        <f t="shared" si="7"/>
        <v>0</v>
      </c>
      <c r="I360" s="6"/>
      <c r="J360" s="10" t="str">
        <f>'traspo ñ alterar'!$B360</f>
        <v/>
      </c>
      <c r="K360" s="6" t="str">
        <f t="shared" si="2"/>
        <v/>
      </c>
      <c r="L360" s="6" t="str">
        <f t="shared" si="8"/>
        <v/>
      </c>
      <c r="M360" s="6" t="str">
        <f t="shared" si="9"/>
        <v/>
      </c>
      <c r="N360" s="6" t="str">
        <f t="shared" si="5"/>
        <v>OCULTAR</v>
      </c>
    </row>
    <row r="361" ht="15.75" customHeight="1">
      <c r="A361" s="1"/>
      <c r="B361" s="8" t="str">
        <f>Calendario!$B361</f>
        <v/>
      </c>
      <c r="C361" s="8" t="str">
        <f>Calendario!$C361</f>
        <v/>
      </c>
      <c r="D361" s="8" t="str">
        <f>Calendario!$D361</f>
        <v/>
      </c>
      <c r="E361" s="8" t="str">
        <f>Calendario!$E361</f>
        <v/>
      </c>
      <c r="F361" s="8" t="str">
        <f>Calendario!$F361</f>
        <v/>
      </c>
      <c r="G361" s="5"/>
      <c r="H361" s="6" t="str">
        <f t="shared" si="7"/>
        <v>0</v>
      </c>
      <c r="I361" s="6"/>
      <c r="J361" s="10" t="str">
        <f>'traspo ñ alterar'!$B361</f>
        <v/>
      </c>
      <c r="K361" s="6" t="str">
        <f t="shared" si="2"/>
        <v/>
      </c>
      <c r="L361" s="6" t="str">
        <f t="shared" si="8"/>
        <v/>
      </c>
      <c r="M361" s="6" t="str">
        <f t="shared" si="9"/>
        <v/>
      </c>
      <c r="N361" s="6" t="str">
        <f t="shared" si="5"/>
        <v>OCULTAR</v>
      </c>
    </row>
    <row r="362" ht="15.75" customHeight="1">
      <c r="A362" s="1"/>
      <c r="B362" s="8" t="str">
        <f>Calendario!$B362</f>
        <v/>
      </c>
      <c r="C362" s="8" t="str">
        <f>Calendario!$C362</f>
        <v/>
      </c>
      <c r="D362" s="8" t="str">
        <f>Calendario!$D362</f>
        <v/>
      </c>
      <c r="E362" s="8" t="str">
        <f>Calendario!$E362</f>
        <v/>
      </c>
      <c r="F362" s="8" t="str">
        <f>Calendario!$F362</f>
        <v/>
      </c>
      <c r="G362" s="5"/>
      <c r="H362" s="6" t="str">
        <f t="shared" si="7"/>
        <v>0</v>
      </c>
      <c r="I362" s="6"/>
      <c r="J362" s="10" t="str">
        <f>'traspo ñ alterar'!$B362</f>
        <v/>
      </c>
      <c r="K362" s="6" t="str">
        <f t="shared" si="2"/>
        <v/>
      </c>
      <c r="L362" s="6" t="str">
        <f t="shared" si="8"/>
        <v/>
      </c>
      <c r="M362" s="6" t="str">
        <f t="shared" si="9"/>
        <v/>
      </c>
      <c r="N362" s="6" t="str">
        <f t="shared" si="5"/>
        <v>OCULTAR</v>
      </c>
    </row>
    <row r="363" ht="15.75" customHeight="1">
      <c r="A363" s="1"/>
      <c r="B363" s="8" t="str">
        <f>Calendario!$B363</f>
        <v/>
      </c>
      <c r="C363" s="8" t="str">
        <f>Calendario!$C363</f>
        <v/>
      </c>
      <c r="D363" s="8" t="str">
        <f>Calendario!$D363</f>
        <v/>
      </c>
      <c r="E363" s="8" t="str">
        <f>Calendario!$E363</f>
        <v/>
      </c>
      <c r="F363" s="8" t="str">
        <f>Calendario!$F363</f>
        <v/>
      </c>
      <c r="G363" s="5"/>
      <c r="H363" s="6" t="str">
        <f t="shared" si="7"/>
        <v>0</v>
      </c>
      <c r="I363" s="6"/>
      <c r="J363" s="10" t="str">
        <f>'traspo ñ alterar'!$B363</f>
        <v/>
      </c>
      <c r="K363" s="6" t="str">
        <f t="shared" si="2"/>
        <v/>
      </c>
      <c r="L363" s="6" t="str">
        <f t="shared" si="8"/>
        <v/>
      </c>
      <c r="M363" s="6" t="str">
        <f t="shared" si="9"/>
        <v/>
      </c>
      <c r="N363" s="6" t="str">
        <f t="shared" si="5"/>
        <v>OCULTAR</v>
      </c>
    </row>
    <row r="364" ht="15.75" customHeight="1">
      <c r="A364" s="1"/>
      <c r="B364" s="8" t="str">
        <f>Calendario!$B364</f>
        <v/>
      </c>
      <c r="C364" s="8" t="str">
        <f>Calendario!$C364</f>
        <v/>
      </c>
      <c r="D364" s="8" t="str">
        <f>Calendario!$D364</f>
        <v/>
      </c>
      <c r="E364" s="8" t="str">
        <f>Calendario!$E364</f>
        <v/>
      </c>
      <c r="F364" s="8" t="str">
        <f>Calendario!$F364</f>
        <v/>
      </c>
      <c r="G364" s="5"/>
      <c r="H364" s="6" t="str">
        <f t="shared" si="7"/>
        <v>0</v>
      </c>
      <c r="I364" s="6"/>
      <c r="J364" s="10" t="str">
        <f>'traspo ñ alterar'!$B364</f>
        <v/>
      </c>
      <c r="K364" s="6" t="str">
        <f t="shared" si="2"/>
        <v/>
      </c>
      <c r="L364" s="6" t="str">
        <f t="shared" si="8"/>
        <v/>
      </c>
      <c r="M364" s="6" t="str">
        <f t="shared" si="9"/>
        <v/>
      </c>
      <c r="N364" s="6" t="str">
        <f t="shared" si="5"/>
        <v>OCULTAR</v>
      </c>
    </row>
    <row r="365" ht="15.75" customHeight="1">
      <c r="A365" s="1"/>
      <c r="B365" s="8" t="str">
        <f>Calendario!$B365</f>
        <v/>
      </c>
      <c r="C365" s="8" t="str">
        <f>Calendario!$C365</f>
        <v/>
      </c>
      <c r="D365" s="8" t="str">
        <f>Calendario!$D365</f>
        <v/>
      </c>
      <c r="E365" s="8" t="str">
        <f>Calendario!$E365</f>
        <v/>
      </c>
      <c r="F365" s="8" t="str">
        <f>Calendario!$F365</f>
        <v/>
      </c>
      <c r="G365" s="5"/>
      <c r="H365" s="6" t="str">
        <f t="shared" si="7"/>
        <v>0</v>
      </c>
      <c r="I365" s="6"/>
      <c r="J365" s="10" t="str">
        <f>'traspo ñ alterar'!$B365</f>
        <v/>
      </c>
      <c r="K365" s="6" t="str">
        <f t="shared" si="2"/>
        <v/>
      </c>
      <c r="L365" s="6" t="str">
        <f t="shared" si="8"/>
        <v/>
      </c>
      <c r="M365" s="6" t="str">
        <f t="shared" si="9"/>
        <v/>
      </c>
      <c r="N365" s="6" t="str">
        <f t="shared" si="5"/>
        <v>OCULTAR</v>
      </c>
    </row>
    <row r="366" ht="15.75" customHeight="1">
      <c r="A366" s="1"/>
      <c r="B366" s="8" t="str">
        <f>Calendario!$B366</f>
        <v/>
      </c>
      <c r="C366" s="8" t="str">
        <f>Calendario!$C366</f>
        <v/>
      </c>
      <c r="D366" s="8" t="str">
        <f>Calendario!$D366</f>
        <v/>
      </c>
      <c r="E366" s="8" t="str">
        <f>Calendario!$E366</f>
        <v/>
      </c>
      <c r="F366" s="8" t="str">
        <f>Calendario!$F366</f>
        <v/>
      </c>
      <c r="G366" s="5"/>
      <c r="H366" s="6" t="str">
        <f t="shared" si="7"/>
        <v>0</v>
      </c>
      <c r="I366" s="6"/>
      <c r="J366" s="10" t="str">
        <f>'traspo ñ alterar'!$B366</f>
        <v/>
      </c>
      <c r="K366" s="6" t="str">
        <f t="shared" si="2"/>
        <v/>
      </c>
      <c r="L366" s="6" t="str">
        <f t="shared" si="8"/>
        <v/>
      </c>
      <c r="M366" s="6" t="str">
        <f t="shared" si="9"/>
        <v/>
      </c>
      <c r="N366" s="6" t="str">
        <f t="shared" si="5"/>
        <v>OCULTAR</v>
      </c>
    </row>
    <row r="367" ht="15.75" customHeight="1">
      <c r="A367" s="1"/>
      <c r="B367" s="8" t="str">
        <f>Calendario!$B367</f>
        <v/>
      </c>
      <c r="C367" s="8" t="str">
        <f>Calendario!$C367</f>
        <v/>
      </c>
      <c r="D367" s="8" t="str">
        <f>Calendario!$D367</f>
        <v/>
      </c>
      <c r="E367" s="8" t="str">
        <f>Calendario!$E367</f>
        <v/>
      </c>
      <c r="F367" s="8" t="str">
        <f>Calendario!$F367</f>
        <v/>
      </c>
      <c r="G367" s="5"/>
      <c r="H367" s="6" t="str">
        <f t="shared" si="7"/>
        <v>0</v>
      </c>
      <c r="I367" s="6"/>
      <c r="J367" s="10" t="str">
        <f>'traspo ñ alterar'!$B367</f>
        <v/>
      </c>
      <c r="K367" s="6" t="str">
        <f t="shared" si="2"/>
        <v/>
      </c>
      <c r="L367" s="6" t="str">
        <f t="shared" si="8"/>
        <v/>
      </c>
      <c r="M367" s="6" t="str">
        <f t="shared" si="9"/>
        <v/>
      </c>
      <c r="N367" s="6" t="str">
        <f t="shared" si="5"/>
        <v>OCULTAR</v>
      </c>
    </row>
    <row r="368" ht="15.75" customHeight="1">
      <c r="A368" s="1"/>
      <c r="B368" s="8" t="str">
        <f>Calendario!$B368</f>
        <v/>
      </c>
      <c r="C368" s="8" t="str">
        <f>Calendario!$C368</f>
        <v/>
      </c>
      <c r="D368" s="8" t="str">
        <f>Calendario!$D368</f>
        <v/>
      </c>
      <c r="E368" s="8" t="str">
        <f>Calendario!$E368</f>
        <v/>
      </c>
      <c r="F368" s="8" t="str">
        <f>Calendario!$F368</f>
        <v/>
      </c>
      <c r="G368" s="5"/>
      <c r="H368" s="6" t="str">
        <f t="shared" si="7"/>
        <v>0</v>
      </c>
      <c r="I368" s="6"/>
      <c r="J368" s="10" t="str">
        <f>'traspo ñ alterar'!$B368</f>
        <v/>
      </c>
      <c r="K368" s="6" t="str">
        <f t="shared" si="2"/>
        <v/>
      </c>
      <c r="L368" s="6" t="str">
        <f t="shared" si="8"/>
        <v/>
      </c>
      <c r="M368" s="6" t="str">
        <f t="shared" si="9"/>
        <v/>
      </c>
      <c r="N368" s="6" t="str">
        <f t="shared" si="5"/>
        <v>OCULTAR</v>
      </c>
    </row>
    <row r="369" ht="15.75" customHeight="1">
      <c r="A369" s="1"/>
      <c r="B369" s="8" t="str">
        <f>Calendario!$B369</f>
        <v/>
      </c>
      <c r="C369" s="8" t="str">
        <f>Calendario!$C369</f>
        <v/>
      </c>
      <c r="D369" s="8" t="str">
        <f>Calendario!$D369</f>
        <v/>
      </c>
      <c r="E369" s="8" t="str">
        <f>Calendario!$E369</f>
        <v/>
      </c>
      <c r="F369" s="8" t="str">
        <f>Calendario!$F369</f>
        <v/>
      </c>
      <c r="G369" s="5"/>
      <c r="H369" s="6" t="str">
        <f t="shared" si="7"/>
        <v>0</v>
      </c>
      <c r="I369" s="6"/>
      <c r="J369" s="10" t="str">
        <f>'traspo ñ alterar'!$B369</f>
        <v/>
      </c>
      <c r="K369" s="6" t="str">
        <f t="shared" si="2"/>
        <v/>
      </c>
      <c r="L369" s="6" t="str">
        <f t="shared" si="8"/>
        <v/>
      </c>
      <c r="M369" s="6" t="str">
        <f t="shared" si="9"/>
        <v/>
      </c>
      <c r="N369" s="6" t="str">
        <f t="shared" si="5"/>
        <v>OCULTAR</v>
      </c>
    </row>
    <row r="370" ht="15.75" customHeight="1">
      <c r="A370" s="1"/>
      <c r="B370" s="8" t="str">
        <f>Calendario!$B370</f>
        <v/>
      </c>
      <c r="C370" s="8" t="str">
        <f>Calendario!$C370</f>
        <v/>
      </c>
      <c r="D370" s="8" t="str">
        <f>Calendario!$D370</f>
        <v/>
      </c>
      <c r="E370" s="8" t="str">
        <f>Calendario!$E370</f>
        <v/>
      </c>
      <c r="F370" s="8" t="str">
        <f>Calendario!$F370</f>
        <v/>
      </c>
      <c r="G370" s="5"/>
      <c r="H370" s="6" t="str">
        <f t="shared" si="7"/>
        <v>0</v>
      </c>
      <c r="I370" s="6"/>
      <c r="J370" s="10" t="str">
        <f>'traspo ñ alterar'!$B370</f>
        <v/>
      </c>
      <c r="K370" s="6" t="str">
        <f t="shared" si="2"/>
        <v/>
      </c>
      <c r="L370" s="6" t="str">
        <f t="shared" si="8"/>
        <v/>
      </c>
      <c r="M370" s="6" t="str">
        <f t="shared" si="9"/>
        <v/>
      </c>
      <c r="N370" s="6" t="str">
        <f t="shared" si="5"/>
        <v>OCULTAR</v>
      </c>
    </row>
    <row r="371" ht="15.75" customHeight="1">
      <c r="A371" s="1"/>
      <c r="B371" s="8" t="str">
        <f>Calendario!$B371</f>
        <v/>
      </c>
      <c r="C371" s="8" t="str">
        <f>Calendario!$C371</f>
        <v/>
      </c>
      <c r="D371" s="8" t="str">
        <f>Calendario!$D371</f>
        <v/>
      </c>
      <c r="E371" s="8" t="str">
        <f>Calendario!$E371</f>
        <v/>
      </c>
      <c r="F371" s="8" t="str">
        <f>Calendario!$F371</f>
        <v/>
      </c>
      <c r="G371" s="5"/>
      <c r="H371" s="6" t="str">
        <f t="shared" si="7"/>
        <v>0</v>
      </c>
      <c r="I371" s="6"/>
      <c r="J371" s="10" t="str">
        <f>'traspo ñ alterar'!$B371</f>
        <v/>
      </c>
      <c r="K371" s="6" t="str">
        <f t="shared" si="2"/>
        <v/>
      </c>
      <c r="L371" s="6" t="str">
        <f t="shared" si="8"/>
        <v/>
      </c>
      <c r="M371" s="6" t="str">
        <f t="shared" si="9"/>
        <v/>
      </c>
      <c r="N371" s="6" t="str">
        <f t="shared" si="5"/>
        <v>OCULTAR</v>
      </c>
    </row>
    <row r="372" ht="15.75" customHeight="1">
      <c r="A372" s="1"/>
      <c r="B372" s="8" t="str">
        <f>Calendario!$B372</f>
        <v/>
      </c>
      <c r="C372" s="8" t="str">
        <f>Calendario!$C372</f>
        <v/>
      </c>
      <c r="D372" s="8" t="str">
        <f>Calendario!$D372</f>
        <v/>
      </c>
      <c r="E372" s="8" t="str">
        <f>Calendario!$E372</f>
        <v/>
      </c>
      <c r="F372" s="8" t="str">
        <f>Calendario!$F372</f>
        <v/>
      </c>
      <c r="G372" s="5"/>
      <c r="H372" s="6" t="str">
        <f t="shared" si="7"/>
        <v>0</v>
      </c>
      <c r="I372" s="6"/>
      <c r="J372" s="10" t="str">
        <f>'traspo ñ alterar'!$B372</f>
        <v/>
      </c>
      <c r="K372" s="6" t="str">
        <f t="shared" si="2"/>
        <v/>
      </c>
      <c r="L372" s="6" t="str">
        <f t="shared" si="8"/>
        <v/>
      </c>
      <c r="M372" s="6" t="str">
        <f t="shared" si="9"/>
        <v/>
      </c>
      <c r="N372" s="6" t="str">
        <f t="shared" si="5"/>
        <v>OCULTAR</v>
      </c>
    </row>
    <row r="373" ht="15.75" customHeight="1">
      <c r="A373" s="1"/>
      <c r="B373" s="8" t="str">
        <f>Calendario!$B373</f>
        <v/>
      </c>
      <c r="C373" s="8" t="str">
        <f>Calendario!$C373</f>
        <v/>
      </c>
      <c r="D373" s="8" t="str">
        <f>Calendario!$D373</f>
        <v/>
      </c>
      <c r="E373" s="8" t="str">
        <f>Calendario!$E373</f>
        <v/>
      </c>
      <c r="F373" s="8" t="str">
        <f>Calendario!$F373</f>
        <v/>
      </c>
      <c r="G373" s="5"/>
      <c r="H373" s="6" t="str">
        <f t="shared" si="7"/>
        <v>0</v>
      </c>
      <c r="I373" s="6"/>
      <c r="J373" s="10" t="str">
        <f>'traspo ñ alterar'!$B373</f>
        <v/>
      </c>
      <c r="K373" s="6" t="str">
        <f t="shared" si="2"/>
        <v/>
      </c>
      <c r="L373" s="6" t="str">
        <f t="shared" si="8"/>
        <v/>
      </c>
      <c r="M373" s="6" t="str">
        <f t="shared" si="9"/>
        <v/>
      </c>
      <c r="N373" s="6" t="str">
        <f t="shared" si="5"/>
        <v>OCULTAR</v>
      </c>
    </row>
    <row r="374" ht="15.75" customHeight="1">
      <c r="A374" s="1"/>
      <c r="B374" s="8" t="str">
        <f>Calendario!$B374</f>
        <v/>
      </c>
      <c r="C374" s="8" t="str">
        <f>Calendario!$C374</f>
        <v/>
      </c>
      <c r="D374" s="8" t="str">
        <f>Calendario!$D374</f>
        <v/>
      </c>
      <c r="E374" s="8" t="str">
        <f>Calendario!$E374</f>
        <v/>
      </c>
      <c r="F374" s="8" t="str">
        <f>Calendario!$F374</f>
        <v/>
      </c>
      <c r="G374" s="5"/>
      <c r="H374" s="6" t="str">
        <f t="shared" si="7"/>
        <v>0</v>
      </c>
      <c r="I374" s="6"/>
      <c r="J374" s="10" t="str">
        <f>'traspo ñ alterar'!$B374</f>
        <v/>
      </c>
      <c r="K374" s="6" t="str">
        <f t="shared" si="2"/>
        <v/>
      </c>
      <c r="L374" s="6" t="str">
        <f t="shared" si="8"/>
        <v/>
      </c>
      <c r="M374" s="6" t="str">
        <f t="shared" si="9"/>
        <v/>
      </c>
      <c r="N374" s="6" t="str">
        <f t="shared" si="5"/>
        <v>OCULTAR</v>
      </c>
    </row>
    <row r="375" ht="15.75" customHeight="1">
      <c r="A375" s="1"/>
      <c r="B375" s="8" t="str">
        <f>Calendario!$B375</f>
        <v/>
      </c>
      <c r="C375" s="8" t="str">
        <f>Calendario!$C375</f>
        <v/>
      </c>
      <c r="D375" s="8" t="str">
        <f>Calendario!$D375</f>
        <v/>
      </c>
      <c r="E375" s="8" t="str">
        <f>Calendario!$E375</f>
        <v/>
      </c>
      <c r="F375" s="8" t="str">
        <f>Calendario!$F375</f>
        <v/>
      </c>
      <c r="G375" s="5"/>
      <c r="H375" s="6" t="str">
        <f t="shared" si="7"/>
        <v>0</v>
      </c>
      <c r="I375" s="6"/>
      <c r="J375" s="10" t="str">
        <f>'traspo ñ alterar'!$B375</f>
        <v/>
      </c>
      <c r="K375" s="6" t="str">
        <f t="shared" si="2"/>
        <v/>
      </c>
      <c r="L375" s="6" t="str">
        <f t="shared" si="8"/>
        <v/>
      </c>
      <c r="M375" s="6" t="str">
        <f t="shared" si="9"/>
        <v/>
      </c>
      <c r="N375" s="6" t="str">
        <f t="shared" si="5"/>
        <v>OCULTAR</v>
      </c>
    </row>
    <row r="376" ht="15.75" customHeight="1">
      <c r="A376" s="1"/>
      <c r="B376" s="8" t="str">
        <f>Calendario!$B376</f>
        <v/>
      </c>
      <c r="C376" s="8" t="str">
        <f>Calendario!$C376</f>
        <v/>
      </c>
      <c r="D376" s="8" t="str">
        <f>Calendario!$D376</f>
        <v/>
      </c>
      <c r="E376" s="8" t="str">
        <f>Calendario!$E376</f>
        <v/>
      </c>
      <c r="F376" s="8" t="str">
        <f>Calendario!$F376</f>
        <v/>
      </c>
      <c r="G376" s="5"/>
      <c r="H376" s="6" t="str">
        <f t="shared" si="7"/>
        <v>0</v>
      </c>
      <c r="I376" s="6"/>
      <c r="J376" s="10" t="str">
        <f>'traspo ñ alterar'!$B376</f>
        <v/>
      </c>
      <c r="K376" s="6" t="str">
        <f t="shared" si="2"/>
        <v/>
      </c>
      <c r="L376" s="6" t="str">
        <f t="shared" si="8"/>
        <v/>
      </c>
      <c r="M376" s="6" t="str">
        <f t="shared" si="9"/>
        <v/>
      </c>
      <c r="N376" s="6" t="str">
        <f t="shared" si="5"/>
        <v>OCULTAR</v>
      </c>
    </row>
    <row r="377" ht="15.75" customHeight="1">
      <c r="A377" s="1"/>
      <c r="B377" s="8" t="str">
        <f>Calendario!$B377</f>
        <v/>
      </c>
      <c r="C377" s="8" t="str">
        <f>Calendario!$C377</f>
        <v/>
      </c>
      <c r="D377" s="8" t="str">
        <f>Calendario!$D377</f>
        <v/>
      </c>
      <c r="E377" s="8" t="str">
        <f>Calendario!$E377</f>
        <v/>
      </c>
      <c r="F377" s="8" t="str">
        <f>Calendario!$F377</f>
        <v/>
      </c>
      <c r="G377" s="5"/>
      <c r="H377" s="6" t="str">
        <f t="shared" si="7"/>
        <v>0</v>
      </c>
      <c r="I377" s="6"/>
      <c r="J377" s="10" t="str">
        <f>'traspo ñ alterar'!$B377</f>
        <v/>
      </c>
      <c r="K377" s="6" t="str">
        <f t="shared" si="2"/>
        <v/>
      </c>
      <c r="L377" s="6" t="str">
        <f t="shared" si="8"/>
        <v/>
      </c>
      <c r="M377" s="6" t="str">
        <f t="shared" si="9"/>
        <v/>
      </c>
      <c r="N377" s="6" t="str">
        <f t="shared" si="5"/>
        <v>OCULTAR</v>
      </c>
    </row>
    <row r="378" ht="15.75" customHeight="1">
      <c r="A378" s="1"/>
      <c r="B378" s="8" t="str">
        <f>Calendario!$B378</f>
        <v/>
      </c>
      <c r="C378" s="8" t="str">
        <f>Calendario!$C378</f>
        <v/>
      </c>
      <c r="D378" s="8" t="str">
        <f>Calendario!$D378</f>
        <v/>
      </c>
      <c r="E378" s="8" t="str">
        <f>Calendario!$E378</f>
        <v/>
      </c>
      <c r="F378" s="8" t="str">
        <f>Calendario!$F378</f>
        <v/>
      </c>
      <c r="G378" s="5"/>
      <c r="H378" s="6" t="str">
        <f t="shared" si="7"/>
        <v>0</v>
      </c>
      <c r="I378" s="6"/>
      <c r="J378" s="10" t="str">
        <f>'traspo ñ alterar'!$B378</f>
        <v/>
      </c>
      <c r="K378" s="6" t="str">
        <f t="shared" si="2"/>
        <v/>
      </c>
      <c r="L378" s="6" t="str">
        <f t="shared" si="8"/>
        <v/>
      </c>
      <c r="M378" s="6" t="str">
        <f t="shared" si="9"/>
        <v/>
      </c>
      <c r="N378" s="6" t="str">
        <f t="shared" si="5"/>
        <v>OCULTAR</v>
      </c>
    </row>
    <row r="379" ht="15.75" customHeight="1">
      <c r="A379" s="1"/>
      <c r="B379" s="8" t="str">
        <f>Calendario!$B379</f>
        <v/>
      </c>
      <c r="C379" s="8" t="str">
        <f>Calendario!$C379</f>
        <v/>
      </c>
      <c r="D379" s="8" t="str">
        <f>Calendario!$D379</f>
        <v/>
      </c>
      <c r="E379" s="8" t="str">
        <f>Calendario!$E379</f>
        <v/>
      </c>
      <c r="F379" s="8" t="str">
        <f>Calendario!$F379</f>
        <v/>
      </c>
      <c r="G379" s="5"/>
      <c r="H379" s="6" t="str">
        <f t="shared" si="7"/>
        <v>0</v>
      </c>
      <c r="I379" s="6"/>
      <c r="J379" s="10" t="str">
        <f>'traspo ñ alterar'!$B379</f>
        <v/>
      </c>
      <c r="K379" s="6" t="str">
        <f t="shared" si="2"/>
        <v/>
      </c>
      <c r="L379" s="6" t="str">
        <f t="shared" si="8"/>
        <v/>
      </c>
      <c r="M379" s="6" t="str">
        <f t="shared" si="9"/>
        <v/>
      </c>
      <c r="N379" s="6" t="str">
        <f t="shared" si="5"/>
        <v>OCULTAR</v>
      </c>
    </row>
    <row r="380" ht="15.75" customHeight="1">
      <c r="A380" s="1"/>
      <c r="B380" s="8" t="str">
        <f>Calendario!$B380</f>
        <v/>
      </c>
      <c r="C380" s="8" t="str">
        <f>Calendario!$C380</f>
        <v/>
      </c>
      <c r="D380" s="8" t="str">
        <f>Calendario!$D380</f>
        <v/>
      </c>
      <c r="E380" s="8" t="str">
        <f>Calendario!$E380</f>
        <v/>
      </c>
      <c r="F380" s="8" t="str">
        <f>Calendario!$F380</f>
        <v/>
      </c>
      <c r="G380" s="5"/>
      <c r="H380" s="6" t="str">
        <f t="shared" si="7"/>
        <v>0</v>
      </c>
      <c r="I380" s="6"/>
      <c r="J380" s="10" t="str">
        <f>'traspo ñ alterar'!$B380</f>
        <v/>
      </c>
      <c r="K380" s="6" t="str">
        <f t="shared" si="2"/>
        <v/>
      </c>
      <c r="L380" s="6" t="str">
        <f t="shared" si="8"/>
        <v/>
      </c>
      <c r="M380" s="6" t="str">
        <f t="shared" si="9"/>
        <v/>
      </c>
      <c r="N380" s="6" t="str">
        <f t="shared" si="5"/>
        <v>OCULTAR</v>
      </c>
    </row>
    <row r="381" ht="15.75" customHeight="1">
      <c r="A381" s="1"/>
      <c r="B381" s="8" t="str">
        <f>Calendario!$B381</f>
        <v/>
      </c>
      <c r="C381" s="8" t="str">
        <f>Calendario!$C381</f>
        <v/>
      </c>
      <c r="D381" s="8" t="str">
        <f>Calendario!$D381</f>
        <v/>
      </c>
      <c r="E381" s="8" t="str">
        <f>Calendario!$E381</f>
        <v/>
      </c>
      <c r="F381" s="8" t="str">
        <f>Calendario!$F381</f>
        <v/>
      </c>
      <c r="G381" s="5"/>
      <c r="H381" s="6" t="str">
        <f t="shared" si="7"/>
        <v>0</v>
      </c>
      <c r="I381" s="6"/>
      <c r="J381" s="10" t="str">
        <f>'traspo ñ alterar'!$B381</f>
        <v/>
      </c>
      <c r="K381" s="6" t="str">
        <f t="shared" si="2"/>
        <v/>
      </c>
      <c r="L381" s="6" t="str">
        <f t="shared" si="8"/>
        <v/>
      </c>
      <c r="M381" s="6" t="str">
        <f t="shared" si="9"/>
        <v/>
      </c>
      <c r="N381" s="6" t="str">
        <f t="shared" si="5"/>
        <v>OCULTAR</v>
      </c>
    </row>
    <row r="382" ht="15.75" customHeight="1">
      <c r="A382" s="1"/>
      <c r="B382" s="8" t="str">
        <f>Calendario!$B382</f>
        <v/>
      </c>
      <c r="C382" s="8" t="str">
        <f>Calendario!$C382</f>
        <v/>
      </c>
      <c r="D382" s="8" t="str">
        <f>Calendario!$D382</f>
        <v/>
      </c>
      <c r="E382" s="8" t="str">
        <f>Calendario!$E382</f>
        <v/>
      </c>
      <c r="F382" s="8" t="str">
        <f>Calendario!$F382</f>
        <v/>
      </c>
      <c r="G382" s="5"/>
      <c r="H382" s="6" t="str">
        <f t="shared" si="7"/>
        <v>0</v>
      </c>
      <c r="I382" s="6"/>
      <c r="J382" s="10" t="str">
        <f>'traspo ñ alterar'!$B382</f>
        <v/>
      </c>
      <c r="K382" s="6" t="str">
        <f t="shared" si="2"/>
        <v/>
      </c>
      <c r="L382" s="6" t="str">
        <f t="shared" si="8"/>
        <v/>
      </c>
      <c r="M382" s="6" t="str">
        <f t="shared" si="9"/>
        <v/>
      </c>
      <c r="N382" s="6" t="str">
        <f t="shared" si="5"/>
        <v>OCULTAR</v>
      </c>
    </row>
    <row r="383" ht="15.75" customHeight="1">
      <c r="A383" s="1"/>
      <c r="B383" s="8" t="str">
        <f>Calendario!$B383</f>
        <v/>
      </c>
      <c r="C383" s="8" t="str">
        <f>Calendario!$C383</f>
        <v/>
      </c>
      <c r="D383" s="8" t="str">
        <f>Calendario!$D383</f>
        <v/>
      </c>
      <c r="E383" s="8" t="str">
        <f>Calendario!$E383</f>
        <v/>
      </c>
      <c r="F383" s="8" t="str">
        <f>Calendario!$F383</f>
        <v/>
      </c>
      <c r="G383" s="5"/>
      <c r="H383" s="6" t="str">
        <f t="shared" si="7"/>
        <v>0</v>
      </c>
      <c r="I383" s="6"/>
      <c r="J383" s="10" t="str">
        <f>'traspo ñ alterar'!$B383</f>
        <v/>
      </c>
      <c r="K383" s="6" t="str">
        <f t="shared" si="2"/>
        <v/>
      </c>
      <c r="L383" s="6" t="str">
        <f t="shared" si="8"/>
        <v/>
      </c>
      <c r="M383" s="6" t="str">
        <f t="shared" si="9"/>
        <v/>
      </c>
      <c r="N383" s="6" t="str">
        <f t="shared" si="5"/>
        <v>OCULTAR</v>
      </c>
    </row>
    <row r="384" ht="15.75" customHeight="1">
      <c r="A384" s="1"/>
      <c r="B384" s="8" t="str">
        <f>Calendario!$B384</f>
        <v/>
      </c>
      <c r="C384" s="8" t="str">
        <f>Calendario!$C384</f>
        <v/>
      </c>
      <c r="D384" s="8" t="str">
        <f>Calendario!$D384</f>
        <v/>
      </c>
      <c r="E384" s="8" t="str">
        <f>Calendario!$E384</f>
        <v/>
      </c>
      <c r="F384" s="8" t="str">
        <f>Calendario!$F384</f>
        <v/>
      </c>
      <c r="G384" s="5"/>
      <c r="H384" s="6" t="str">
        <f t="shared" si="7"/>
        <v>0</v>
      </c>
      <c r="I384" s="6"/>
      <c r="J384" s="10" t="str">
        <f>'traspo ñ alterar'!$B384</f>
        <v/>
      </c>
      <c r="K384" s="6" t="str">
        <f t="shared" si="2"/>
        <v/>
      </c>
      <c r="L384" s="6" t="str">
        <f t="shared" si="8"/>
        <v/>
      </c>
      <c r="M384" s="6" t="str">
        <f t="shared" si="9"/>
        <v/>
      </c>
      <c r="N384" s="6" t="str">
        <f t="shared" si="5"/>
        <v>OCULTAR</v>
      </c>
    </row>
    <row r="385" ht="15.75" customHeight="1">
      <c r="A385" s="1"/>
      <c r="B385" s="8" t="str">
        <f>Calendario!$B385</f>
        <v/>
      </c>
      <c r="C385" s="8" t="str">
        <f>Calendario!$C385</f>
        <v/>
      </c>
      <c r="D385" s="8" t="str">
        <f>Calendario!$D385</f>
        <v/>
      </c>
      <c r="E385" s="8" t="str">
        <f>Calendario!$E385</f>
        <v/>
      </c>
      <c r="F385" s="8" t="str">
        <f>Calendario!$F385</f>
        <v/>
      </c>
      <c r="G385" s="5"/>
      <c r="H385" s="6" t="str">
        <f t="shared" si="7"/>
        <v>0</v>
      </c>
      <c r="I385" s="6"/>
      <c r="J385" s="10" t="str">
        <f>'traspo ñ alterar'!$B385</f>
        <v/>
      </c>
      <c r="K385" s="6" t="str">
        <f t="shared" si="2"/>
        <v/>
      </c>
      <c r="L385" s="6" t="str">
        <f t="shared" si="8"/>
        <v/>
      </c>
      <c r="M385" s="6" t="str">
        <f t="shared" si="9"/>
        <v/>
      </c>
      <c r="N385" s="6" t="str">
        <f t="shared" si="5"/>
        <v>OCULTAR</v>
      </c>
    </row>
    <row r="386" ht="15.75" customHeight="1">
      <c r="A386" s="1"/>
      <c r="B386" s="8" t="str">
        <f>Calendario!$B386</f>
        <v/>
      </c>
      <c r="C386" s="8" t="str">
        <f>Calendario!$C386</f>
        <v/>
      </c>
      <c r="D386" s="8" t="str">
        <f>Calendario!$D386</f>
        <v/>
      </c>
      <c r="E386" s="8" t="str">
        <f>Calendario!$E386</f>
        <v/>
      </c>
      <c r="F386" s="8" t="str">
        <f>Calendario!$F386</f>
        <v/>
      </c>
      <c r="G386" s="5"/>
      <c r="H386" s="6" t="str">
        <f t="shared" si="7"/>
        <v>0</v>
      </c>
      <c r="I386" s="6"/>
      <c r="J386" s="10" t="str">
        <f>'traspo ñ alterar'!$B386</f>
        <v/>
      </c>
      <c r="K386" s="6" t="str">
        <f t="shared" si="2"/>
        <v/>
      </c>
      <c r="L386" s="6" t="str">
        <f t="shared" si="8"/>
        <v/>
      </c>
      <c r="M386" s="6" t="str">
        <f t="shared" si="9"/>
        <v/>
      </c>
      <c r="N386" s="6" t="str">
        <f t="shared" si="5"/>
        <v>OCULTAR</v>
      </c>
    </row>
    <row r="387" ht="15.75" customHeight="1">
      <c r="A387" s="1"/>
      <c r="B387" s="8" t="str">
        <f>Calendario!$B387</f>
        <v/>
      </c>
      <c r="C387" s="8" t="str">
        <f>Calendario!$C387</f>
        <v/>
      </c>
      <c r="D387" s="8" t="str">
        <f>Calendario!$D387</f>
        <v/>
      </c>
      <c r="E387" s="8" t="str">
        <f>Calendario!$E387</f>
        <v/>
      </c>
      <c r="F387" s="8" t="str">
        <f>Calendario!$F387</f>
        <v/>
      </c>
      <c r="G387" s="5"/>
      <c r="H387" s="6" t="str">
        <f t="shared" si="7"/>
        <v>0</v>
      </c>
      <c r="I387" s="6"/>
      <c r="J387" s="10" t="str">
        <f>'traspo ñ alterar'!$B387</f>
        <v/>
      </c>
      <c r="K387" s="6" t="str">
        <f t="shared" si="2"/>
        <v/>
      </c>
      <c r="L387" s="6" t="str">
        <f t="shared" si="8"/>
        <v/>
      </c>
      <c r="M387" s="6" t="str">
        <f t="shared" si="9"/>
        <v/>
      </c>
      <c r="N387" s="6" t="str">
        <f t="shared" si="5"/>
        <v>OCULTAR</v>
      </c>
    </row>
    <row r="388" ht="15.75" customHeight="1">
      <c r="A388" s="1"/>
      <c r="B388" s="8" t="str">
        <f>Calendario!$B388</f>
        <v/>
      </c>
      <c r="C388" s="8" t="str">
        <f>Calendario!$C388</f>
        <v/>
      </c>
      <c r="D388" s="8" t="str">
        <f>Calendario!$D388</f>
        <v/>
      </c>
      <c r="E388" s="8" t="str">
        <f>Calendario!$E388</f>
        <v/>
      </c>
      <c r="F388" s="8" t="str">
        <f>Calendario!$F388</f>
        <v/>
      </c>
      <c r="G388" s="5"/>
      <c r="H388" s="6" t="str">
        <f t="shared" si="7"/>
        <v>0</v>
      </c>
      <c r="I388" s="6"/>
      <c r="J388" s="10" t="str">
        <f>'traspo ñ alterar'!$B388</f>
        <v/>
      </c>
      <c r="K388" s="6" t="str">
        <f t="shared" si="2"/>
        <v/>
      </c>
      <c r="L388" s="6" t="str">
        <f t="shared" si="8"/>
        <v/>
      </c>
      <c r="M388" s="6" t="str">
        <f t="shared" si="9"/>
        <v/>
      </c>
      <c r="N388" s="6" t="str">
        <f t="shared" si="5"/>
        <v>OCULTAR</v>
      </c>
    </row>
    <row r="389" ht="15.75" customHeight="1">
      <c r="A389" s="1"/>
      <c r="B389" s="8" t="str">
        <f>Calendario!$B389</f>
        <v/>
      </c>
      <c r="C389" s="8" t="str">
        <f>Calendario!$C389</f>
        <v/>
      </c>
      <c r="D389" s="8" t="str">
        <f>Calendario!$D389</f>
        <v/>
      </c>
      <c r="E389" s="8" t="str">
        <f>Calendario!$E389</f>
        <v/>
      </c>
      <c r="F389" s="8" t="str">
        <f>Calendario!$F389</f>
        <v/>
      </c>
      <c r="G389" s="5"/>
      <c r="H389" s="6" t="str">
        <f t="shared" si="7"/>
        <v>0</v>
      </c>
      <c r="I389" s="6"/>
      <c r="J389" s="10" t="str">
        <f>'traspo ñ alterar'!$B389</f>
        <v/>
      </c>
      <c r="K389" s="6" t="str">
        <f t="shared" si="2"/>
        <v/>
      </c>
      <c r="L389" s="6" t="str">
        <f t="shared" si="8"/>
        <v/>
      </c>
      <c r="M389" s="6" t="str">
        <f t="shared" si="9"/>
        <v/>
      </c>
      <c r="N389" s="6" t="str">
        <f t="shared" si="5"/>
        <v>OCULTAR</v>
      </c>
    </row>
    <row r="390" ht="15.75" customHeight="1">
      <c r="A390" s="1"/>
      <c r="B390" s="8" t="str">
        <f>Calendario!$B390</f>
        <v/>
      </c>
      <c r="C390" s="8" t="str">
        <f>Calendario!$C390</f>
        <v/>
      </c>
      <c r="D390" s="8" t="str">
        <f>Calendario!$D390</f>
        <v/>
      </c>
      <c r="E390" s="8" t="str">
        <f>Calendario!$E390</f>
        <v/>
      </c>
      <c r="F390" s="8" t="str">
        <f>Calendario!$F390</f>
        <v/>
      </c>
      <c r="G390" s="5"/>
      <c r="H390" s="6" t="str">
        <f t="shared" si="7"/>
        <v>0</v>
      </c>
      <c r="I390" s="6"/>
      <c r="J390" s="10" t="str">
        <f>'traspo ñ alterar'!$B390</f>
        <v/>
      </c>
      <c r="K390" s="6" t="str">
        <f t="shared" si="2"/>
        <v/>
      </c>
      <c r="L390" s="6" t="str">
        <f t="shared" si="8"/>
        <v/>
      </c>
      <c r="M390" s="6" t="str">
        <f t="shared" si="9"/>
        <v/>
      </c>
      <c r="N390" s="6" t="str">
        <f t="shared" si="5"/>
        <v>OCULTAR</v>
      </c>
    </row>
    <row r="391" ht="15.75" customHeight="1">
      <c r="A391" s="1"/>
      <c r="B391" s="8" t="str">
        <f>Calendario!$B391</f>
        <v/>
      </c>
      <c r="C391" s="8" t="str">
        <f>Calendario!$C391</f>
        <v/>
      </c>
      <c r="D391" s="8" t="str">
        <f>Calendario!$D391</f>
        <v/>
      </c>
      <c r="E391" s="8" t="str">
        <f>Calendario!$E391</f>
        <v/>
      </c>
      <c r="F391" s="8" t="str">
        <f>Calendario!$F391</f>
        <v/>
      </c>
      <c r="G391" s="5"/>
      <c r="H391" s="6" t="str">
        <f t="shared" si="7"/>
        <v>0</v>
      </c>
      <c r="I391" s="6"/>
      <c r="J391" s="10" t="str">
        <f>'traspo ñ alterar'!$B391</f>
        <v/>
      </c>
      <c r="K391" s="6" t="str">
        <f t="shared" si="2"/>
        <v/>
      </c>
      <c r="L391" s="6" t="str">
        <f t="shared" si="8"/>
        <v/>
      </c>
      <c r="M391" s="6" t="str">
        <f t="shared" si="9"/>
        <v/>
      </c>
      <c r="N391" s="6" t="str">
        <f t="shared" si="5"/>
        <v>OCULTAR</v>
      </c>
    </row>
    <row r="392" ht="15.75" customHeight="1">
      <c r="A392" s="1"/>
      <c r="B392" s="8" t="str">
        <f>Calendario!$B392</f>
        <v/>
      </c>
      <c r="C392" s="8" t="str">
        <f>Calendario!$C392</f>
        <v/>
      </c>
      <c r="D392" s="8" t="str">
        <f>Calendario!$D392</f>
        <v/>
      </c>
      <c r="E392" s="8" t="str">
        <f>Calendario!$E392</f>
        <v/>
      </c>
      <c r="F392" s="8" t="str">
        <f>Calendario!$F392</f>
        <v/>
      </c>
      <c r="G392" s="5"/>
      <c r="H392" s="6" t="str">
        <f t="shared" si="7"/>
        <v>0</v>
      </c>
      <c r="I392" s="6"/>
      <c r="J392" s="10" t="str">
        <f>'traspo ñ alterar'!$B392</f>
        <v/>
      </c>
      <c r="K392" s="6" t="str">
        <f t="shared" si="2"/>
        <v/>
      </c>
      <c r="L392" s="6" t="str">
        <f t="shared" si="8"/>
        <v/>
      </c>
      <c r="M392" s="6" t="str">
        <f t="shared" si="9"/>
        <v/>
      </c>
      <c r="N392" s="6" t="str">
        <f t="shared" si="5"/>
        <v>OCULTAR</v>
      </c>
    </row>
    <row r="393" ht="15.75" customHeight="1">
      <c r="A393" s="1"/>
      <c r="B393" s="8" t="str">
        <f>Calendario!$B393</f>
        <v/>
      </c>
      <c r="C393" s="8" t="str">
        <f>Calendario!$C393</f>
        <v/>
      </c>
      <c r="D393" s="8" t="str">
        <f>Calendario!$D393</f>
        <v/>
      </c>
      <c r="E393" s="8" t="str">
        <f>Calendario!$E393</f>
        <v/>
      </c>
      <c r="F393" s="8" t="str">
        <f>Calendario!$F393</f>
        <v/>
      </c>
      <c r="G393" s="5"/>
      <c r="H393" s="6" t="str">
        <f t="shared" si="7"/>
        <v>0</v>
      </c>
      <c r="I393" s="6"/>
      <c r="J393" s="10" t="str">
        <f>'traspo ñ alterar'!$B393</f>
        <v/>
      </c>
      <c r="K393" s="6" t="str">
        <f t="shared" si="2"/>
        <v/>
      </c>
      <c r="L393" s="6" t="str">
        <f t="shared" si="8"/>
        <v/>
      </c>
      <c r="M393" s="6" t="str">
        <f t="shared" si="9"/>
        <v/>
      </c>
      <c r="N393" s="6" t="str">
        <f t="shared" si="5"/>
        <v>OCULTAR</v>
      </c>
    </row>
    <row r="394" ht="15.75" customHeight="1">
      <c r="A394" s="1"/>
      <c r="B394" s="8" t="str">
        <f>Calendario!$B394</f>
        <v/>
      </c>
      <c r="C394" s="8" t="str">
        <f>Calendario!$C394</f>
        <v/>
      </c>
      <c r="D394" s="8" t="str">
        <f>Calendario!$D394</f>
        <v/>
      </c>
      <c r="E394" s="8" t="str">
        <f>Calendario!$E394</f>
        <v/>
      </c>
      <c r="F394" s="8" t="str">
        <f>Calendario!$F394</f>
        <v/>
      </c>
      <c r="G394" s="5"/>
      <c r="H394" s="6" t="str">
        <f t="shared" si="7"/>
        <v>0</v>
      </c>
      <c r="I394" s="6"/>
      <c r="J394" s="10" t="str">
        <f>'traspo ñ alterar'!$B394</f>
        <v/>
      </c>
      <c r="K394" s="6" t="str">
        <f t="shared" si="2"/>
        <v/>
      </c>
      <c r="L394" s="6" t="str">
        <f t="shared" si="8"/>
        <v/>
      </c>
      <c r="M394" s="6" t="str">
        <f t="shared" si="9"/>
        <v/>
      </c>
      <c r="N394" s="6" t="str">
        <f t="shared" si="5"/>
        <v>OCULTAR</v>
      </c>
    </row>
    <row r="395" ht="15.75" customHeight="1">
      <c r="A395" s="1"/>
      <c r="B395" s="8" t="str">
        <f>Calendario!$B395</f>
        <v/>
      </c>
      <c r="C395" s="8" t="str">
        <f>Calendario!$C395</f>
        <v/>
      </c>
      <c r="D395" s="8" t="str">
        <f>Calendario!$D395</f>
        <v/>
      </c>
      <c r="E395" s="8" t="str">
        <f>Calendario!$E395</f>
        <v/>
      </c>
      <c r="F395" s="8" t="str">
        <f>Calendario!$F395</f>
        <v/>
      </c>
      <c r="G395" s="5"/>
      <c r="H395" s="6" t="str">
        <f t="shared" si="7"/>
        <v>0</v>
      </c>
      <c r="I395" s="6"/>
      <c r="J395" s="10" t="str">
        <f>'traspo ñ alterar'!$B395</f>
        <v/>
      </c>
      <c r="K395" s="6" t="str">
        <f t="shared" si="2"/>
        <v/>
      </c>
      <c r="L395" s="6" t="str">
        <f t="shared" si="8"/>
        <v/>
      </c>
      <c r="M395" s="6" t="str">
        <f t="shared" si="9"/>
        <v/>
      </c>
      <c r="N395" s="6" t="str">
        <f t="shared" si="5"/>
        <v>OCULTAR</v>
      </c>
    </row>
    <row r="396" ht="15.75" customHeight="1">
      <c r="A396" s="1"/>
      <c r="B396" s="8" t="str">
        <f>Calendario!$B396</f>
        <v/>
      </c>
      <c r="C396" s="8" t="str">
        <f>Calendario!$C396</f>
        <v/>
      </c>
      <c r="D396" s="8" t="str">
        <f>Calendario!$D396</f>
        <v/>
      </c>
      <c r="E396" s="8" t="str">
        <f>Calendario!$E396</f>
        <v/>
      </c>
      <c r="F396" s="8" t="str">
        <f>Calendario!$F396</f>
        <v/>
      </c>
      <c r="G396" s="5"/>
      <c r="H396" s="6" t="str">
        <f t="shared" si="7"/>
        <v>0</v>
      </c>
      <c r="I396" s="6"/>
      <c r="J396" s="10" t="str">
        <f>'traspo ñ alterar'!$B396</f>
        <v/>
      </c>
      <c r="K396" s="6" t="str">
        <f t="shared" si="2"/>
        <v/>
      </c>
      <c r="L396" s="6" t="str">
        <f t="shared" si="8"/>
        <v/>
      </c>
      <c r="M396" s="6" t="str">
        <f t="shared" si="9"/>
        <v/>
      </c>
      <c r="N396" s="6" t="str">
        <f t="shared" si="5"/>
        <v>OCULTAR</v>
      </c>
    </row>
    <row r="397" ht="15.75" customHeight="1">
      <c r="A397" s="1"/>
      <c r="B397" s="8" t="str">
        <f>Calendario!$B397</f>
        <v/>
      </c>
      <c r="C397" s="8" t="str">
        <f>Calendario!$C397</f>
        <v/>
      </c>
      <c r="D397" s="8" t="str">
        <f>Calendario!$D397</f>
        <v/>
      </c>
      <c r="E397" s="8" t="str">
        <f>Calendario!$E397</f>
        <v/>
      </c>
      <c r="F397" s="8" t="str">
        <f>Calendario!$F397</f>
        <v/>
      </c>
      <c r="G397" s="5"/>
      <c r="H397" s="6" t="str">
        <f t="shared" si="7"/>
        <v>0</v>
      </c>
      <c r="I397" s="6"/>
      <c r="J397" s="10" t="str">
        <f>'traspo ñ alterar'!$B397</f>
        <v/>
      </c>
      <c r="K397" s="6" t="str">
        <f t="shared" si="2"/>
        <v/>
      </c>
      <c r="L397" s="6" t="str">
        <f t="shared" si="8"/>
        <v/>
      </c>
      <c r="M397" s="6" t="str">
        <f t="shared" si="9"/>
        <v/>
      </c>
      <c r="N397" s="6" t="str">
        <f t="shared" si="5"/>
        <v>OCULTAR</v>
      </c>
    </row>
    <row r="398" ht="15.75" customHeight="1">
      <c r="A398" s="1"/>
      <c r="B398" s="8" t="str">
        <f>Calendario!$B398</f>
        <v/>
      </c>
      <c r="C398" s="8" t="str">
        <f>Calendario!$C398</f>
        <v/>
      </c>
      <c r="D398" s="8" t="str">
        <f>Calendario!$D398</f>
        <v/>
      </c>
      <c r="E398" s="8" t="str">
        <f>Calendario!$E398</f>
        <v/>
      </c>
      <c r="F398" s="8" t="str">
        <f>Calendario!$F398</f>
        <v/>
      </c>
      <c r="G398" s="5"/>
      <c r="H398" s="6" t="str">
        <f t="shared" si="7"/>
        <v>0</v>
      </c>
      <c r="I398" s="6"/>
      <c r="J398" s="10" t="str">
        <f>'traspo ñ alterar'!$B398</f>
        <v/>
      </c>
      <c r="K398" s="6" t="str">
        <f t="shared" si="2"/>
        <v/>
      </c>
      <c r="L398" s="6" t="str">
        <f t="shared" si="8"/>
        <v/>
      </c>
      <c r="M398" s="6" t="str">
        <f t="shared" si="9"/>
        <v/>
      </c>
      <c r="N398" s="6" t="str">
        <f t="shared" si="5"/>
        <v>OCULTAR</v>
      </c>
    </row>
    <row r="399" ht="15.75" customHeight="1">
      <c r="A399" s="1"/>
      <c r="B399" s="8" t="str">
        <f>Calendario!$B399</f>
        <v/>
      </c>
      <c r="C399" s="8" t="str">
        <f>Calendario!$C399</f>
        <v/>
      </c>
      <c r="D399" s="8" t="str">
        <f>Calendario!$D399</f>
        <v/>
      </c>
      <c r="E399" s="8" t="str">
        <f>Calendario!$E399</f>
        <v/>
      </c>
      <c r="F399" s="8" t="str">
        <f>Calendario!$F399</f>
        <v/>
      </c>
      <c r="G399" s="5"/>
      <c r="H399" s="6" t="str">
        <f t="shared" si="7"/>
        <v>0</v>
      </c>
      <c r="I399" s="6"/>
      <c r="J399" s="10" t="str">
        <f>'traspo ñ alterar'!$B399</f>
        <v/>
      </c>
      <c r="K399" s="6" t="str">
        <f t="shared" si="2"/>
        <v/>
      </c>
      <c r="L399" s="6" t="str">
        <f t="shared" si="8"/>
        <v/>
      </c>
      <c r="M399" s="6" t="str">
        <f t="shared" si="9"/>
        <v/>
      </c>
      <c r="N399" s="6" t="str">
        <f t="shared" si="5"/>
        <v>OCULTAR</v>
      </c>
    </row>
    <row r="400" ht="15.75" customHeight="1">
      <c r="A400" s="1"/>
      <c r="B400" s="8" t="str">
        <f>Calendario!$B400</f>
        <v/>
      </c>
      <c r="C400" s="8" t="str">
        <f>Calendario!$C400</f>
        <v/>
      </c>
      <c r="D400" s="8" t="str">
        <f>Calendario!$D400</f>
        <v/>
      </c>
      <c r="E400" s="8" t="str">
        <f>Calendario!$E400</f>
        <v/>
      </c>
      <c r="F400" s="8" t="str">
        <f>Calendario!$F400</f>
        <v/>
      </c>
      <c r="G400" s="5"/>
      <c r="H400" s="6" t="str">
        <f t="shared" si="7"/>
        <v>0</v>
      </c>
      <c r="I400" s="6"/>
      <c r="J400" s="10" t="str">
        <f>'traspo ñ alterar'!$B400</f>
        <v/>
      </c>
      <c r="K400" s="6" t="str">
        <f t="shared" si="2"/>
        <v/>
      </c>
      <c r="L400" s="6" t="str">
        <f t="shared" si="8"/>
        <v/>
      </c>
      <c r="M400" s="6" t="str">
        <f t="shared" si="9"/>
        <v/>
      </c>
      <c r="N400" s="6" t="str">
        <f t="shared" si="5"/>
        <v>OCULTAR</v>
      </c>
    </row>
    <row r="401" ht="15.75" customHeight="1">
      <c r="A401" s="1"/>
      <c r="B401" s="8" t="str">
        <f>Calendario!$B401</f>
        <v/>
      </c>
      <c r="C401" s="8" t="str">
        <f>Calendario!$C401</f>
        <v/>
      </c>
      <c r="D401" s="8" t="str">
        <f>Calendario!$D401</f>
        <v/>
      </c>
      <c r="E401" s="8" t="str">
        <f>Calendario!$E401</f>
        <v/>
      </c>
      <c r="F401" s="8" t="str">
        <f>Calendario!$F401</f>
        <v/>
      </c>
      <c r="G401" s="5"/>
      <c r="H401" s="6" t="str">
        <f t="shared" si="7"/>
        <v>0</v>
      </c>
      <c r="I401" s="6"/>
      <c r="J401" s="10" t="str">
        <f>'traspo ñ alterar'!$B401</f>
        <v/>
      </c>
      <c r="K401" s="6" t="str">
        <f t="shared" si="2"/>
        <v/>
      </c>
      <c r="L401" s="6" t="str">
        <f t="shared" si="8"/>
        <v/>
      </c>
      <c r="M401" s="6" t="str">
        <f t="shared" si="9"/>
        <v/>
      </c>
      <c r="N401" s="6" t="str">
        <f t="shared" si="5"/>
        <v>OCULTAR</v>
      </c>
    </row>
    <row r="402" ht="15.75" customHeight="1">
      <c r="A402" s="1"/>
      <c r="B402" s="8" t="str">
        <f>Calendario!$B402</f>
        <v/>
      </c>
      <c r="C402" s="8" t="str">
        <f>Calendario!$C402</f>
        <v/>
      </c>
      <c r="D402" s="8" t="str">
        <f>Calendario!$D402</f>
        <v/>
      </c>
      <c r="E402" s="8" t="str">
        <f>Calendario!$E402</f>
        <v/>
      </c>
      <c r="F402" s="8" t="str">
        <f>Calendario!$F402</f>
        <v/>
      </c>
      <c r="G402" s="5"/>
      <c r="H402" s="6" t="str">
        <f t="shared" si="7"/>
        <v>0</v>
      </c>
      <c r="I402" s="6"/>
      <c r="J402" s="10" t="str">
        <f>'traspo ñ alterar'!$B402</f>
        <v/>
      </c>
      <c r="K402" s="6" t="str">
        <f t="shared" si="2"/>
        <v/>
      </c>
      <c r="L402" s="6" t="str">
        <f t="shared" si="8"/>
        <v/>
      </c>
      <c r="M402" s="6" t="str">
        <f t="shared" si="9"/>
        <v/>
      </c>
      <c r="N402" s="6" t="str">
        <f t="shared" si="5"/>
        <v>OCULTAR</v>
      </c>
    </row>
    <row r="403" ht="15.75" customHeight="1">
      <c r="A403" s="1"/>
      <c r="B403" s="8" t="str">
        <f>Calendario!$B403</f>
        <v/>
      </c>
      <c r="C403" s="8" t="str">
        <f>Calendario!$C403</f>
        <v/>
      </c>
      <c r="D403" s="8" t="str">
        <f>Calendario!$D403</f>
        <v/>
      </c>
      <c r="E403" s="8" t="str">
        <f>Calendario!$E403</f>
        <v/>
      </c>
      <c r="F403" s="8" t="str">
        <f>Calendario!$F403</f>
        <v/>
      </c>
      <c r="G403" s="5"/>
      <c r="H403" s="6" t="str">
        <f t="shared" si="7"/>
        <v>0</v>
      </c>
      <c r="I403" s="6"/>
      <c r="J403" s="10" t="str">
        <f>'traspo ñ alterar'!$B403</f>
        <v/>
      </c>
      <c r="K403" s="6" t="str">
        <f t="shared" si="2"/>
        <v/>
      </c>
      <c r="L403" s="6" t="str">
        <f t="shared" si="8"/>
        <v/>
      </c>
      <c r="M403" s="6" t="str">
        <f t="shared" si="9"/>
        <v/>
      </c>
      <c r="N403" s="6" t="str">
        <f t="shared" si="5"/>
        <v>OCULTAR</v>
      </c>
    </row>
    <row r="404" ht="15.75" customHeight="1">
      <c r="A404" s="1"/>
      <c r="B404" s="8" t="str">
        <f>Calendario!$B404</f>
        <v/>
      </c>
      <c r="C404" s="8" t="str">
        <f>Calendario!$C404</f>
        <v/>
      </c>
      <c r="D404" s="8" t="str">
        <f>Calendario!$D404</f>
        <v/>
      </c>
      <c r="E404" s="8" t="str">
        <f>Calendario!$E404</f>
        <v/>
      </c>
      <c r="F404" s="8" t="str">
        <f>Calendario!$F404</f>
        <v/>
      </c>
      <c r="G404" s="5"/>
      <c r="H404" s="6" t="str">
        <f t="shared" si="7"/>
        <v>0</v>
      </c>
      <c r="I404" s="6"/>
      <c r="J404" s="10" t="str">
        <f>'traspo ñ alterar'!$B404</f>
        <v/>
      </c>
      <c r="K404" s="6" t="str">
        <f t="shared" si="2"/>
        <v/>
      </c>
      <c r="L404" s="6" t="str">
        <f t="shared" si="8"/>
        <v/>
      </c>
      <c r="M404" s="6" t="str">
        <f t="shared" si="9"/>
        <v/>
      </c>
      <c r="N404" s="6" t="str">
        <f t="shared" si="5"/>
        <v>OCULTAR</v>
      </c>
    </row>
    <row r="405" ht="15.75" customHeight="1">
      <c r="A405" s="1"/>
      <c r="B405" s="8" t="str">
        <f>Calendario!$B405</f>
        <v/>
      </c>
      <c r="C405" s="8" t="str">
        <f>Calendario!$C405</f>
        <v/>
      </c>
      <c r="D405" s="8" t="str">
        <f>Calendario!$D405</f>
        <v/>
      </c>
      <c r="E405" s="8" t="str">
        <f>Calendario!$E405</f>
        <v/>
      </c>
      <c r="F405" s="8" t="str">
        <f>Calendario!$F405</f>
        <v/>
      </c>
      <c r="G405" s="5"/>
      <c r="H405" s="6" t="str">
        <f t="shared" si="7"/>
        <v>0</v>
      </c>
      <c r="I405" s="6"/>
      <c r="J405" s="10" t="str">
        <f>'traspo ñ alterar'!$B405</f>
        <v/>
      </c>
      <c r="K405" s="6" t="str">
        <f t="shared" si="2"/>
        <v/>
      </c>
      <c r="L405" s="6" t="str">
        <f t="shared" si="8"/>
        <v/>
      </c>
      <c r="M405" s="6" t="str">
        <f t="shared" si="9"/>
        <v/>
      </c>
      <c r="N405" s="6" t="str">
        <f t="shared" si="5"/>
        <v>OCULTAR</v>
      </c>
    </row>
    <row r="406" ht="15.75" customHeight="1">
      <c r="A406" s="1"/>
      <c r="B406" s="8" t="str">
        <f>Calendario!$B406</f>
        <v/>
      </c>
      <c r="C406" s="8" t="str">
        <f>Calendario!$C406</f>
        <v/>
      </c>
      <c r="D406" s="8" t="str">
        <f>Calendario!$D406</f>
        <v/>
      </c>
      <c r="E406" s="8" t="str">
        <f>Calendario!$E406</f>
        <v/>
      </c>
      <c r="F406" s="8" t="str">
        <f>Calendario!$F406</f>
        <v/>
      </c>
      <c r="G406" s="5"/>
      <c r="H406" s="6" t="str">
        <f t="shared" si="7"/>
        <v>0</v>
      </c>
      <c r="I406" s="6"/>
      <c r="J406" s="10" t="str">
        <f>'traspo ñ alterar'!$B406</f>
        <v/>
      </c>
      <c r="K406" s="6" t="str">
        <f t="shared" si="2"/>
        <v/>
      </c>
      <c r="L406" s="6" t="str">
        <f t="shared" si="8"/>
        <v/>
      </c>
      <c r="M406" s="6" t="str">
        <f t="shared" si="9"/>
        <v/>
      </c>
      <c r="N406" s="6" t="str">
        <f t="shared" si="5"/>
        <v>OCULTAR</v>
      </c>
    </row>
    <row r="407" ht="15.75" customHeight="1">
      <c r="A407" s="1"/>
      <c r="B407" s="8" t="str">
        <f>Calendario!$B407</f>
        <v/>
      </c>
      <c r="C407" s="8" t="str">
        <f>Calendario!$C407</f>
        <v/>
      </c>
      <c r="D407" s="8" t="str">
        <f>Calendario!$D407</f>
        <v/>
      </c>
      <c r="E407" s="8" t="str">
        <f>Calendario!$E407</f>
        <v/>
      </c>
      <c r="F407" s="8" t="str">
        <f>Calendario!$F407</f>
        <v/>
      </c>
      <c r="G407" s="5"/>
      <c r="H407" s="6" t="str">
        <f t="shared" si="7"/>
        <v>0</v>
      </c>
      <c r="I407" s="6"/>
      <c r="J407" s="10" t="str">
        <f>'traspo ñ alterar'!$B407</f>
        <v/>
      </c>
      <c r="K407" s="6" t="str">
        <f t="shared" si="2"/>
        <v/>
      </c>
      <c r="L407" s="6" t="str">
        <f t="shared" si="8"/>
        <v/>
      </c>
      <c r="M407" s="6" t="str">
        <f t="shared" si="9"/>
        <v/>
      </c>
      <c r="N407" s="6" t="str">
        <f t="shared" si="5"/>
        <v>OCULTAR</v>
      </c>
    </row>
    <row r="408" ht="15.75" customHeight="1">
      <c r="A408" s="1"/>
      <c r="B408" s="8" t="str">
        <f>Calendario!$B408</f>
        <v/>
      </c>
      <c r="C408" s="8" t="str">
        <f>Calendario!$C408</f>
        <v/>
      </c>
      <c r="D408" s="8" t="str">
        <f>Calendario!$D408</f>
        <v/>
      </c>
      <c r="E408" s="8" t="str">
        <f>Calendario!$E408</f>
        <v/>
      </c>
      <c r="F408" s="8" t="str">
        <f>Calendario!$F408</f>
        <v/>
      </c>
      <c r="G408" s="5"/>
      <c r="H408" s="6" t="str">
        <f t="shared" si="7"/>
        <v>0</v>
      </c>
      <c r="I408" s="6"/>
      <c r="J408" s="10" t="str">
        <f>'traspo ñ alterar'!$B408</f>
        <v/>
      </c>
      <c r="K408" s="6" t="str">
        <f t="shared" si="2"/>
        <v/>
      </c>
      <c r="L408" s="6" t="str">
        <f t="shared" si="8"/>
        <v/>
      </c>
      <c r="M408" s="6" t="str">
        <f t="shared" si="9"/>
        <v/>
      </c>
      <c r="N408" s="6" t="str">
        <f t="shared" si="5"/>
        <v>OCULTAR</v>
      </c>
    </row>
    <row r="409" ht="15.75" customHeight="1">
      <c r="A409" s="1"/>
      <c r="B409" s="8" t="str">
        <f>Calendario!$B409</f>
        <v/>
      </c>
      <c r="C409" s="8" t="str">
        <f>Calendario!$C409</f>
        <v/>
      </c>
      <c r="D409" s="8" t="str">
        <f>Calendario!$D409</f>
        <v/>
      </c>
      <c r="E409" s="8" t="str">
        <f>Calendario!$E409</f>
        <v/>
      </c>
      <c r="F409" s="8" t="str">
        <f>Calendario!$F409</f>
        <v/>
      </c>
      <c r="G409" s="5"/>
      <c r="H409" s="6" t="str">
        <f t="shared" si="7"/>
        <v>0</v>
      </c>
      <c r="I409" s="6"/>
      <c r="J409" s="10" t="str">
        <f>'traspo ñ alterar'!$B409</f>
        <v/>
      </c>
      <c r="K409" s="6" t="str">
        <f t="shared" si="2"/>
        <v/>
      </c>
      <c r="L409" s="6" t="str">
        <f t="shared" si="8"/>
        <v/>
      </c>
      <c r="M409" s="6" t="str">
        <f t="shared" si="9"/>
        <v/>
      </c>
      <c r="N409" s="6" t="str">
        <f t="shared" si="5"/>
        <v>OCULTAR</v>
      </c>
    </row>
    <row r="410" ht="15.75" customHeight="1">
      <c r="A410" s="1"/>
      <c r="B410" s="8" t="str">
        <f>Calendario!$B410</f>
        <v/>
      </c>
      <c r="C410" s="8" t="str">
        <f>Calendario!$C410</f>
        <v/>
      </c>
      <c r="D410" s="8" t="str">
        <f>Calendario!$D410</f>
        <v/>
      </c>
      <c r="E410" s="8" t="str">
        <f>Calendario!$E410</f>
        <v/>
      </c>
      <c r="F410" s="8" t="str">
        <f>Calendario!$F410</f>
        <v/>
      </c>
      <c r="G410" s="5"/>
      <c r="H410" s="6" t="str">
        <f t="shared" si="7"/>
        <v>0</v>
      </c>
      <c r="I410" s="6"/>
      <c r="J410" s="10" t="str">
        <f>'traspo ñ alterar'!$B410</f>
        <v/>
      </c>
      <c r="K410" s="6" t="str">
        <f t="shared" si="2"/>
        <v/>
      </c>
      <c r="L410" s="6" t="str">
        <f t="shared" si="8"/>
        <v/>
      </c>
      <c r="M410" s="6" t="str">
        <f t="shared" si="9"/>
        <v/>
      </c>
      <c r="N410" s="6" t="str">
        <f t="shared" si="5"/>
        <v>OCULTAR</v>
      </c>
    </row>
    <row r="411" ht="15.75" customHeight="1">
      <c r="A411" s="1"/>
      <c r="B411" s="8" t="str">
        <f>Calendario!$B411</f>
        <v/>
      </c>
      <c r="C411" s="8" t="str">
        <f>Calendario!$C411</f>
        <v/>
      </c>
      <c r="D411" s="8" t="str">
        <f>Calendario!$D411</f>
        <v/>
      </c>
      <c r="E411" s="8" t="str">
        <f>Calendario!$E411</f>
        <v/>
      </c>
      <c r="F411" s="8" t="str">
        <f>Calendario!$F411</f>
        <v/>
      </c>
      <c r="G411" s="5"/>
      <c r="H411" s="6" t="str">
        <f t="shared" si="7"/>
        <v>0</v>
      </c>
      <c r="I411" s="6"/>
      <c r="J411" s="10" t="str">
        <f>'traspo ñ alterar'!$B411</f>
        <v/>
      </c>
      <c r="K411" s="6" t="str">
        <f t="shared" si="2"/>
        <v/>
      </c>
      <c r="L411" s="6" t="str">
        <f t="shared" si="8"/>
        <v/>
      </c>
      <c r="M411" s="6" t="str">
        <f t="shared" si="9"/>
        <v/>
      </c>
      <c r="N411" s="6" t="str">
        <f t="shared" si="5"/>
        <v>OCULTAR</v>
      </c>
    </row>
    <row r="412" ht="15.75" customHeight="1">
      <c r="A412" s="1"/>
      <c r="B412" s="8" t="str">
        <f>Calendario!$B412</f>
        <v/>
      </c>
      <c r="C412" s="8" t="str">
        <f>Calendario!$C412</f>
        <v/>
      </c>
      <c r="D412" s="8" t="str">
        <f>Calendario!$D412</f>
        <v/>
      </c>
      <c r="E412" s="8" t="str">
        <f>Calendario!$E412</f>
        <v/>
      </c>
      <c r="F412" s="8" t="str">
        <f>Calendario!$F412</f>
        <v/>
      </c>
      <c r="G412" s="5"/>
      <c r="H412" s="6" t="str">
        <f t="shared" si="7"/>
        <v>0</v>
      </c>
      <c r="I412" s="6"/>
      <c r="J412" s="10" t="str">
        <f>'traspo ñ alterar'!$B412</f>
        <v/>
      </c>
      <c r="K412" s="6" t="str">
        <f t="shared" si="2"/>
        <v/>
      </c>
      <c r="L412" s="6" t="str">
        <f t="shared" si="8"/>
        <v/>
      </c>
      <c r="M412" s="6" t="str">
        <f t="shared" si="9"/>
        <v/>
      </c>
      <c r="N412" s="6" t="str">
        <f t="shared" si="5"/>
        <v>OCULTAR</v>
      </c>
    </row>
    <row r="413" ht="15.75" customHeight="1">
      <c r="A413" s="1"/>
      <c r="B413" s="8" t="str">
        <f>Calendario!$B413</f>
        <v/>
      </c>
      <c r="C413" s="8" t="str">
        <f>Calendario!$C413</f>
        <v/>
      </c>
      <c r="D413" s="8" t="str">
        <f>Calendario!$D413</f>
        <v/>
      </c>
      <c r="E413" s="8" t="str">
        <f>Calendario!$E413</f>
        <v/>
      </c>
      <c r="F413" s="8" t="str">
        <f>Calendario!$F413</f>
        <v/>
      </c>
      <c r="G413" s="5"/>
      <c r="H413" s="6" t="str">
        <f t="shared" si="7"/>
        <v>0</v>
      </c>
      <c r="I413" s="6"/>
      <c r="J413" s="10" t="str">
        <f>'traspo ñ alterar'!$B413</f>
        <v/>
      </c>
      <c r="K413" s="6" t="str">
        <f t="shared" si="2"/>
        <v/>
      </c>
      <c r="L413" s="6" t="str">
        <f t="shared" si="8"/>
        <v/>
      </c>
      <c r="M413" s="6" t="str">
        <f t="shared" si="9"/>
        <v/>
      </c>
      <c r="N413" s="6" t="str">
        <f t="shared" si="5"/>
        <v>OCULTAR</v>
      </c>
    </row>
    <row r="414" ht="15.75" customHeight="1">
      <c r="A414" s="1"/>
      <c r="B414" s="8" t="str">
        <f>Calendario!$B414</f>
        <v/>
      </c>
      <c r="C414" s="8" t="str">
        <f>Calendario!$C414</f>
        <v/>
      </c>
      <c r="D414" s="8" t="str">
        <f>Calendario!$D414</f>
        <v/>
      </c>
      <c r="E414" s="8" t="str">
        <f>Calendario!$E414</f>
        <v/>
      </c>
      <c r="F414" s="8" t="str">
        <f>Calendario!$F414</f>
        <v/>
      </c>
      <c r="G414" s="5"/>
      <c r="H414" s="6" t="str">
        <f t="shared" si="7"/>
        <v>0</v>
      </c>
      <c r="I414" s="6"/>
      <c r="J414" s="10" t="str">
        <f>'traspo ñ alterar'!$B414</f>
        <v/>
      </c>
      <c r="K414" s="6" t="str">
        <f t="shared" si="2"/>
        <v/>
      </c>
      <c r="L414" s="6" t="str">
        <f t="shared" si="8"/>
        <v/>
      </c>
      <c r="M414" s="6" t="str">
        <f t="shared" si="9"/>
        <v/>
      </c>
      <c r="N414" s="6" t="str">
        <f t="shared" si="5"/>
        <v>OCULTAR</v>
      </c>
    </row>
    <row r="415" ht="15.75" customHeight="1">
      <c r="A415" s="1"/>
      <c r="B415" s="8" t="str">
        <f>Calendario!$B415</f>
        <v/>
      </c>
      <c r="C415" s="8" t="str">
        <f>Calendario!$C415</f>
        <v/>
      </c>
      <c r="D415" s="8" t="str">
        <f>Calendario!$D415</f>
        <v/>
      </c>
      <c r="E415" s="8" t="str">
        <f>Calendario!$E415</f>
        <v/>
      </c>
      <c r="F415" s="8" t="str">
        <f>Calendario!$F415</f>
        <v/>
      </c>
      <c r="G415" s="5"/>
      <c r="H415" s="6" t="str">
        <f t="shared" si="7"/>
        <v>0</v>
      </c>
      <c r="I415" s="6"/>
      <c r="J415" s="10" t="str">
        <f>'traspo ñ alterar'!$B415</f>
        <v/>
      </c>
      <c r="K415" s="6" t="str">
        <f t="shared" si="2"/>
        <v/>
      </c>
      <c r="L415" s="6" t="str">
        <f t="shared" si="8"/>
        <v/>
      </c>
      <c r="M415" s="6" t="str">
        <f t="shared" si="9"/>
        <v/>
      </c>
      <c r="N415" s="6" t="str">
        <f t="shared" si="5"/>
        <v>OCULTAR</v>
      </c>
    </row>
    <row r="416" ht="15.75" customHeight="1">
      <c r="A416" s="1"/>
      <c r="B416" s="8" t="str">
        <f>Calendario!$B416</f>
        <v/>
      </c>
      <c r="C416" s="8" t="str">
        <f>Calendario!$C416</f>
        <v/>
      </c>
      <c r="D416" s="8" t="str">
        <f>Calendario!$D416</f>
        <v/>
      </c>
      <c r="E416" s="8" t="str">
        <f>Calendario!$E416</f>
        <v/>
      </c>
      <c r="F416" s="8" t="str">
        <f>Calendario!$F416</f>
        <v/>
      </c>
      <c r="G416" s="5"/>
      <c r="H416" s="6" t="str">
        <f t="shared" si="7"/>
        <v>0</v>
      </c>
      <c r="I416" s="6"/>
      <c r="J416" s="10" t="str">
        <f>'traspo ñ alterar'!$B416</f>
        <v/>
      </c>
      <c r="K416" s="6" t="str">
        <f t="shared" si="2"/>
        <v/>
      </c>
      <c r="L416" s="6" t="str">
        <f t="shared" si="8"/>
        <v/>
      </c>
      <c r="M416" s="6" t="str">
        <f t="shared" si="9"/>
        <v/>
      </c>
      <c r="N416" s="6" t="str">
        <f t="shared" si="5"/>
        <v>OCULTAR</v>
      </c>
    </row>
    <row r="417" ht="15.75" customHeight="1">
      <c r="A417" s="1"/>
      <c r="B417" s="8" t="str">
        <f>Calendario!$B417</f>
        <v/>
      </c>
      <c r="C417" s="8" t="str">
        <f>Calendario!$C417</f>
        <v/>
      </c>
      <c r="D417" s="8" t="str">
        <f>Calendario!$D417</f>
        <v/>
      </c>
      <c r="E417" s="8" t="str">
        <f>Calendario!$E417</f>
        <v/>
      </c>
      <c r="F417" s="8" t="str">
        <f>Calendario!$F417</f>
        <v/>
      </c>
      <c r="G417" s="5"/>
      <c r="H417" s="6" t="str">
        <f t="shared" si="7"/>
        <v>0</v>
      </c>
      <c r="I417" s="6"/>
      <c r="J417" s="10" t="str">
        <f>'traspo ñ alterar'!$B417</f>
        <v/>
      </c>
      <c r="K417" s="6" t="str">
        <f t="shared" si="2"/>
        <v/>
      </c>
      <c r="L417" s="6" t="str">
        <f t="shared" si="8"/>
        <v/>
      </c>
      <c r="M417" s="6" t="str">
        <f t="shared" si="9"/>
        <v/>
      </c>
      <c r="N417" s="6" t="str">
        <f t="shared" si="5"/>
        <v>OCULTAR</v>
      </c>
    </row>
    <row r="418" ht="15.75" customHeight="1">
      <c r="A418" s="1"/>
      <c r="B418" s="8" t="str">
        <f>Calendario!$B418</f>
        <v/>
      </c>
      <c r="C418" s="8" t="str">
        <f>Calendario!$C418</f>
        <v/>
      </c>
      <c r="D418" s="8" t="str">
        <f>Calendario!$D418</f>
        <v/>
      </c>
      <c r="E418" s="8" t="str">
        <f>Calendario!$E418</f>
        <v/>
      </c>
      <c r="F418" s="8" t="str">
        <f>Calendario!$F418</f>
        <v/>
      </c>
      <c r="G418" s="5"/>
      <c r="H418" s="6" t="str">
        <f t="shared" si="7"/>
        <v>0</v>
      </c>
      <c r="I418" s="6"/>
      <c r="J418" s="10" t="str">
        <f>'traspo ñ alterar'!$B418</f>
        <v/>
      </c>
      <c r="K418" s="6" t="str">
        <f t="shared" si="2"/>
        <v/>
      </c>
      <c r="L418" s="6" t="str">
        <f t="shared" si="8"/>
        <v/>
      </c>
      <c r="M418" s="6" t="str">
        <f t="shared" si="9"/>
        <v/>
      </c>
      <c r="N418" s="6" t="str">
        <f t="shared" si="5"/>
        <v>OCULTAR</v>
      </c>
    </row>
    <row r="419" ht="15.75" customHeight="1">
      <c r="A419" s="1"/>
      <c r="B419" s="8" t="str">
        <f>Calendario!$B419</f>
        <v/>
      </c>
      <c r="C419" s="8" t="str">
        <f>Calendario!$C419</f>
        <v/>
      </c>
      <c r="D419" s="8" t="str">
        <f>Calendario!$D419</f>
        <v/>
      </c>
      <c r="E419" s="8" t="str">
        <f>Calendario!$E419</f>
        <v/>
      </c>
      <c r="F419" s="8" t="str">
        <f>Calendario!$F419</f>
        <v/>
      </c>
      <c r="G419" s="5"/>
      <c r="H419" s="6" t="str">
        <f t="shared" si="7"/>
        <v>0</v>
      </c>
      <c r="I419" s="6"/>
      <c r="J419" s="10" t="str">
        <f>'traspo ñ alterar'!$B419</f>
        <v/>
      </c>
      <c r="K419" s="6" t="str">
        <f t="shared" si="2"/>
        <v/>
      </c>
      <c r="L419" s="6" t="str">
        <f t="shared" si="8"/>
        <v/>
      </c>
      <c r="M419" s="6" t="str">
        <f t="shared" si="9"/>
        <v/>
      </c>
      <c r="N419" s="6" t="str">
        <f t="shared" si="5"/>
        <v>OCULTAR</v>
      </c>
    </row>
    <row r="420" ht="15.75" customHeight="1">
      <c r="A420" s="1"/>
      <c r="B420" s="8" t="str">
        <f>Calendario!$B420</f>
        <v/>
      </c>
      <c r="C420" s="8" t="str">
        <f>Calendario!$C420</f>
        <v/>
      </c>
      <c r="D420" s="8" t="str">
        <f>Calendario!$D420</f>
        <v/>
      </c>
      <c r="E420" s="8" t="str">
        <f>Calendario!$E420</f>
        <v/>
      </c>
      <c r="F420" s="8" t="str">
        <f>Calendario!$F420</f>
        <v/>
      </c>
      <c r="G420" s="5"/>
      <c r="H420" s="6" t="str">
        <f t="shared" si="7"/>
        <v>0</v>
      </c>
      <c r="I420" s="6"/>
      <c r="J420" s="10" t="str">
        <f>'traspo ñ alterar'!$B420</f>
        <v/>
      </c>
      <c r="K420" s="6" t="str">
        <f t="shared" si="2"/>
        <v/>
      </c>
      <c r="L420" s="6" t="str">
        <f t="shared" si="8"/>
        <v/>
      </c>
      <c r="M420" s="6" t="str">
        <f t="shared" si="9"/>
        <v/>
      </c>
      <c r="N420" s="6" t="str">
        <f t="shared" si="5"/>
        <v>OCULTAR</v>
      </c>
    </row>
    <row r="421" ht="15.75" customHeight="1">
      <c r="A421" s="1"/>
      <c r="B421" s="8" t="str">
        <f>Calendario!$B421</f>
        <v/>
      </c>
      <c r="C421" s="8" t="str">
        <f>Calendario!$C421</f>
        <v/>
      </c>
      <c r="D421" s="8" t="str">
        <f>Calendario!$D421</f>
        <v/>
      </c>
      <c r="E421" s="8" t="str">
        <f>Calendario!$E421</f>
        <v/>
      </c>
      <c r="F421" s="8" t="str">
        <f>Calendario!$F421</f>
        <v/>
      </c>
      <c r="G421" s="5"/>
      <c r="H421" s="6" t="str">
        <f t="shared" si="7"/>
        <v>0</v>
      </c>
      <c r="I421" s="6"/>
      <c r="J421" s="10" t="str">
        <f>'traspo ñ alterar'!$B421</f>
        <v/>
      </c>
      <c r="K421" s="6" t="str">
        <f t="shared" si="2"/>
        <v/>
      </c>
      <c r="L421" s="6" t="str">
        <f t="shared" si="8"/>
        <v/>
      </c>
      <c r="M421" s="6" t="str">
        <f t="shared" si="9"/>
        <v/>
      </c>
      <c r="N421" s="6" t="str">
        <f t="shared" si="5"/>
        <v>OCULTAR</v>
      </c>
    </row>
    <row r="422" ht="15.75" customHeight="1">
      <c r="A422" s="1"/>
      <c r="B422" s="8" t="str">
        <f>Calendario!$B422</f>
        <v/>
      </c>
      <c r="C422" s="8" t="str">
        <f>Calendario!$C422</f>
        <v/>
      </c>
      <c r="D422" s="8" t="str">
        <f>Calendario!$D422</f>
        <v/>
      </c>
      <c r="E422" s="8" t="str">
        <f>Calendario!$E422</f>
        <v/>
      </c>
      <c r="F422" s="8" t="str">
        <f>Calendario!$F422</f>
        <v/>
      </c>
      <c r="G422" s="5"/>
      <c r="H422" s="6" t="str">
        <f t="shared" si="7"/>
        <v>0</v>
      </c>
      <c r="I422" s="6"/>
      <c r="J422" s="10" t="str">
        <f>'traspo ñ alterar'!$B422</f>
        <v/>
      </c>
      <c r="K422" s="6" t="str">
        <f t="shared" si="2"/>
        <v/>
      </c>
      <c r="L422" s="6" t="str">
        <f t="shared" si="8"/>
        <v/>
      </c>
      <c r="M422" s="6" t="str">
        <f t="shared" si="9"/>
        <v/>
      </c>
      <c r="N422" s="6" t="str">
        <f t="shared" si="5"/>
        <v>OCULTAR</v>
      </c>
    </row>
    <row r="423" ht="15.75" customHeight="1">
      <c r="A423" s="1"/>
      <c r="B423" s="8" t="str">
        <f>Calendario!$B423</f>
        <v/>
      </c>
      <c r="C423" s="8" t="str">
        <f>Calendario!$C423</f>
        <v/>
      </c>
      <c r="D423" s="8" t="str">
        <f>Calendario!$D423</f>
        <v/>
      </c>
      <c r="E423" s="8" t="str">
        <f>Calendario!$E423</f>
        <v/>
      </c>
      <c r="F423" s="8" t="str">
        <f>Calendario!$F423</f>
        <v/>
      </c>
      <c r="G423" s="5"/>
      <c r="H423" s="6" t="str">
        <f t="shared" si="7"/>
        <v>0</v>
      </c>
      <c r="I423" s="6"/>
      <c r="J423" s="10" t="str">
        <f>'traspo ñ alterar'!$B423</f>
        <v/>
      </c>
      <c r="K423" s="6" t="str">
        <f t="shared" si="2"/>
        <v/>
      </c>
      <c r="L423" s="6" t="str">
        <f t="shared" si="8"/>
        <v/>
      </c>
      <c r="M423" s="6" t="str">
        <f t="shared" si="9"/>
        <v/>
      </c>
      <c r="N423" s="6" t="str">
        <f t="shared" si="5"/>
        <v>OCULTAR</v>
      </c>
    </row>
    <row r="424" ht="15.75" customHeight="1">
      <c r="A424" s="1"/>
      <c r="B424" s="8" t="str">
        <f>Calendario!$B424</f>
        <v/>
      </c>
      <c r="C424" s="8" t="str">
        <f>Calendario!$C424</f>
        <v/>
      </c>
      <c r="D424" s="8" t="str">
        <f>Calendario!$D424</f>
        <v/>
      </c>
      <c r="E424" s="8" t="str">
        <f>Calendario!$E424</f>
        <v/>
      </c>
      <c r="F424" s="8" t="str">
        <f>Calendario!$F424</f>
        <v/>
      </c>
      <c r="G424" s="5"/>
      <c r="H424" s="6" t="str">
        <f t="shared" si="7"/>
        <v>0</v>
      </c>
      <c r="I424" s="6"/>
      <c r="J424" s="10" t="str">
        <f>'traspo ñ alterar'!$B424</f>
        <v/>
      </c>
      <c r="K424" s="6" t="str">
        <f t="shared" si="2"/>
        <v/>
      </c>
      <c r="L424" s="6" t="str">
        <f t="shared" si="8"/>
        <v/>
      </c>
      <c r="M424" s="6" t="str">
        <f t="shared" si="9"/>
        <v/>
      </c>
      <c r="N424" s="6" t="str">
        <f t="shared" si="5"/>
        <v>OCULTAR</v>
      </c>
    </row>
    <row r="425" ht="15.75" customHeight="1">
      <c r="A425" s="1"/>
      <c r="B425" s="8" t="str">
        <f>Calendario!$B425</f>
        <v/>
      </c>
      <c r="C425" s="8" t="str">
        <f>Calendario!$C425</f>
        <v/>
      </c>
      <c r="D425" s="8" t="str">
        <f>Calendario!$D425</f>
        <v/>
      </c>
      <c r="E425" s="8" t="str">
        <f>Calendario!$E425</f>
        <v/>
      </c>
      <c r="F425" s="8" t="str">
        <f>Calendario!$F425</f>
        <v/>
      </c>
      <c r="G425" s="5"/>
      <c r="H425" s="6" t="str">
        <f t="shared" si="7"/>
        <v>0</v>
      </c>
      <c r="I425" s="6"/>
      <c r="J425" s="10" t="str">
        <f>'traspo ñ alterar'!$B425</f>
        <v/>
      </c>
      <c r="K425" s="6" t="str">
        <f t="shared" si="2"/>
        <v/>
      </c>
      <c r="L425" s="6" t="str">
        <f t="shared" si="8"/>
        <v/>
      </c>
      <c r="M425" s="6" t="str">
        <f t="shared" si="9"/>
        <v/>
      </c>
      <c r="N425" s="6" t="str">
        <f t="shared" si="5"/>
        <v>OCULTAR</v>
      </c>
    </row>
    <row r="426" ht="15.75" customHeight="1">
      <c r="A426" s="1"/>
      <c r="B426" s="8" t="str">
        <f>Calendario!$B426</f>
        <v/>
      </c>
      <c r="C426" s="8" t="str">
        <f>Calendario!$C426</f>
        <v/>
      </c>
      <c r="D426" s="8" t="str">
        <f>Calendario!$D426</f>
        <v/>
      </c>
      <c r="E426" s="8" t="str">
        <f>Calendario!$E426</f>
        <v/>
      </c>
      <c r="F426" s="8" t="str">
        <f>Calendario!$F426</f>
        <v/>
      </c>
      <c r="G426" s="5"/>
      <c r="H426" s="6" t="str">
        <f t="shared" si="7"/>
        <v>0</v>
      </c>
      <c r="I426" s="6"/>
      <c r="J426" s="10" t="str">
        <f>'traspo ñ alterar'!$B426</f>
        <v/>
      </c>
      <c r="K426" s="6" t="str">
        <f t="shared" si="2"/>
        <v/>
      </c>
      <c r="L426" s="6" t="str">
        <f t="shared" si="8"/>
        <v/>
      </c>
      <c r="M426" s="6" t="str">
        <f t="shared" si="9"/>
        <v/>
      </c>
      <c r="N426" s="6" t="str">
        <f t="shared" si="5"/>
        <v>OCULTAR</v>
      </c>
    </row>
    <row r="427" ht="15.75" customHeight="1">
      <c r="A427" s="1"/>
      <c r="B427" s="8" t="str">
        <f>Calendario!$B427</f>
        <v/>
      </c>
      <c r="C427" s="8" t="str">
        <f>Calendario!$C427</f>
        <v/>
      </c>
      <c r="D427" s="8" t="str">
        <f>Calendario!$D427</f>
        <v/>
      </c>
      <c r="E427" s="8" t="str">
        <f>Calendario!$E427</f>
        <v/>
      </c>
      <c r="F427" s="8" t="str">
        <f>Calendario!$F427</f>
        <v/>
      </c>
      <c r="G427" s="5"/>
      <c r="H427" s="6" t="str">
        <f t="shared" si="7"/>
        <v>0</v>
      </c>
      <c r="I427" s="6"/>
      <c r="J427" s="10" t="str">
        <f>'traspo ñ alterar'!$B427</f>
        <v/>
      </c>
      <c r="K427" s="6" t="str">
        <f t="shared" si="2"/>
        <v/>
      </c>
      <c r="L427" s="6" t="str">
        <f t="shared" si="8"/>
        <v/>
      </c>
      <c r="M427" s="6" t="str">
        <f t="shared" si="9"/>
        <v/>
      </c>
      <c r="N427" s="6" t="str">
        <f t="shared" si="5"/>
        <v>OCULTAR</v>
      </c>
    </row>
    <row r="428" ht="15.75" customHeight="1">
      <c r="A428" s="1"/>
      <c r="B428" s="8" t="str">
        <f>Calendario!$B428</f>
        <v/>
      </c>
      <c r="C428" s="8" t="str">
        <f>Calendario!$C428</f>
        <v/>
      </c>
      <c r="D428" s="8" t="str">
        <f>Calendario!$D428</f>
        <v/>
      </c>
      <c r="E428" s="8" t="str">
        <f>Calendario!$E428</f>
        <v/>
      </c>
      <c r="F428" s="8" t="str">
        <f>Calendario!$F428</f>
        <v/>
      </c>
      <c r="G428" s="5"/>
      <c r="H428" s="6" t="str">
        <f t="shared" si="7"/>
        <v>0</v>
      </c>
      <c r="I428" s="6"/>
      <c r="J428" s="10" t="str">
        <f>'traspo ñ alterar'!$B428</f>
        <v/>
      </c>
      <c r="K428" s="6" t="str">
        <f t="shared" si="2"/>
        <v/>
      </c>
      <c r="L428" s="6" t="str">
        <f t="shared" si="8"/>
        <v/>
      </c>
      <c r="M428" s="6" t="str">
        <f t="shared" si="9"/>
        <v/>
      </c>
      <c r="N428" s="6" t="str">
        <f t="shared" si="5"/>
        <v>OCULTAR</v>
      </c>
    </row>
    <row r="429" ht="15.75" customHeight="1">
      <c r="A429" s="1"/>
      <c r="B429" s="8" t="str">
        <f>Calendario!$B429</f>
        <v/>
      </c>
      <c r="C429" s="8" t="str">
        <f>Calendario!$C429</f>
        <v/>
      </c>
      <c r="D429" s="8" t="str">
        <f>Calendario!$D429</f>
        <v/>
      </c>
      <c r="E429" s="8" t="str">
        <f>Calendario!$E429</f>
        <v/>
      </c>
      <c r="F429" s="8" t="str">
        <f>Calendario!$F429</f>
        <v/>
      </c>
      <c r="G429" s="5"/>
      <c r="H429" s="6" t="str">
        <f t="shared" si="7"/>
        <v>0</v>
      </c>
      <c r="I429" s="6"/>
      <c r="J429" s="10" t="str">
        <f>'traspo ñ alterar'!$B429</f>
        <v/>
      </c>
      <c r="K429" s="6" t="str">
        <f t="shared" si="2"/>
        <v/>
      </c>
      <c r="L429" s="6" t="str">
        <f t="shared" si="8"/>
        <v/>
      </c>
      <c r="M429" s="6" t="str">
        <f t="shared" si="9"/>
        <v/>
      </c>
      <c r="N429" s="6" t="str">
        <f t="shared" si="5"/>
        <v>OCULTAR</v>
      </c>
    </row>
    <row r="430" ht="15.75" customHeight="1">
      <c r="A430" s="1"/>
      <c r="B430" s="8" t="str">
        <f>Calendario!$B430</f>
        <v/>
      </c>
      <c r="C430" s="8" t="str">
        <f>Calendario!$C430</f>
        <v/>
      </c>
      <c r="D430" s="8" t="str">
        <f>Calendario!$D430</f>
        <v/>
      </c>
      <c r="E430" s="8" t="str">
        <f>Calendario!$E430</f>
        <v/>
      </c>
      <c r="F430" s="8" t="str">
        <f>Calendario!$F430</f>
        <v/>
      </c>
      <c r="G430" s="5"/>
      <c r="H430" s="6" t="str">
        <f t="shared" si="7"/>
        <v>0</v>
      </c>
      <c r="I430" s="6"/>
      <c r="J430" s="10" t="str">
        <f>'traspo ñ alterar'!$B430</f>
        <v/>
      </c>
      <c r="K430" s="6" t="str">
        <f t="shared" si="2"/>
        <v/>
      </c>
      <c r="L430" s="6" t="str">
        <f t="shared" si="8"/>
        <v/>
      </c>
      <c r="M430" s="6" t="str">
        <f t="shared" si="9"/>
        <v/>
      </c>
      <c r="N430" s="6" t="str">
        <f t="shared" si="5"/>
        <v>OCULTAR</v>
      </c>
    </row>
    <row r="431" ht="15.75" customHeight="1">
      <c r="A431" s="1"/>
      <c r="B431" s="8" t="str">
        <f>Calendario!$B431</f>
        <v/>
      </c>
      <c r="C431" s="8" t="str">
        <f>Calendario!$C431</f>
        <v/>
      </c>
      <c r="D431" s="8" t="str">
        <f>Calendario!$D431</f>
        <v/>
      </c>
      <c r="E431" s="8" t="str">
        <f>Calendario!$E431</f>
        <v/>
      </c>
      <c r="F431" s="8" t="str">
        <f>Calendario!$F431</f>
        <v/>
      </c>
      <c r="G431" s="5"/>
      <c r="H431" s="6" t="str">
        <f t="shared" si="7"/>
        <v>0</v>
      </c>
      <c r="I431" s="6"/>
      <c r="J431" s="10" t="str">
        <f>'traspo ñ alterar'!$B431</f>
        <v/>
      </c>
      <c r="K431" s="6" t="str">
        <f t="shared" si="2"/>
        <v/>
      </c>
      <c r="L431" s="6" t="str">
        <f t="shared" si="8"/>
        <v/>
      </c>
      <c r="M431" s="6" t="str">
        <f t="shared" si="9"/>
        <v/>
      </c>
      <c r="N431" s="6" t="str">
        <f t="shared" si="5"/>
        <v>OCULTAR</v>
      </c>
    </row>
    <row r="432" ht="15.75" customHeight="1">
      <c r="A432" s="1"/>
      <c r="B432" s="8" t="str">
        <f>Calendario!$B432</f>
        <v/>
      </c>
      <c r="C432" s="8" t="str">
        <f>Calendario!$C432</f>
        <v/>
      </c>
      <c r="D432" s="8" t="str">
        <f>Calendario!$D432</f>
        <v/>
      </c>
      <c r="E432" s="8" t="str">
        <f>Calendario!$E432</f>
        <v/>
      </c>
      <c r="F432" s="8" t="str">
        <f>Calendario!$F432</f>
        <v/>
      </c>
      <c r="G432" s="5"/>
      <c r="H432" s="6" t="str">
        <f t="shared" si="7"/>
        <v>0</v>
      </c>
      <c r="I432" s="6"/>
      <c r="J432" s="10" t="str">
        <f>'traspo ñ alterar'!$B432</f>
        <v/>
      </c>
      <c r="K432" s="6" t="str">
        <f t="shared" si="2"/>
        <v/>
      </c>
      <c r="L432" s="6" t="str">
        <f t="shared" si="8"/>
        <v/>
      </c>
      <c r="M432" s="6" t="str">
        <f t="shared" si="9"/>
        <v/>
      </c>
      <c r="N432" s="6" t="str">
        <f t="shared" si="5"/>
        <v>OCULTAR</v>
      </c>
    </row>
    <row r="433" ht="15.75" customHeight="1">
      <c r="A433" s="1"/>
      <c r="B433" s="8" t="str">
        <f>Calendario!$B433</f>
        <v/>
      </c>
      <c r="C433" s="8" t="str">
        <f>Calendario!$C433</f>
        <v/>
      </c>
      <c r="D433" s="8" t="str">
        <f>Calendario!$D433</f>
        <v/>
      </c>
      <c r="E433" s="8" t="str">
        <f>Calendario!$E433</f>
        <v/>
      </c>
      <c r="F433" s="8" t="str">
        <f>Calendario!$F433</f>
        <v/>
      </c>
      <c r="G433" s="5"/>
      <c r="H433" s="6" t="str">
        <f t="shared" si="7"/>
        <v>0</v>
      </c>
      <c r="I433" s="6"/>
      <c r="J433" s="10" t="str">
        <f>'traspo ñ alterar'!$B433</f>
        <v/>
      </c>
      <c r="K433" s="6" t="str">
        <f t="shared" si="2"/>
        <v/>
      </c>
      <c r="L433" s="6" t="str">
        <f t="shared" si="8"/>
        <v/>
      </c>
      <c r="M433" s="6" t="str">
        <f t="shared" si="9"/>
        <v/>
      </c>
      <c r="N433" s="6" t="str">
        <f t="shared" si="5"/>
        <v>OCULTAR</v>
      </c>
    </row>
    <row r="434" ht="15.75" customHeight="1">
      <c r="A434" s="1"/>
      <c r="B434" s="8" t="str">
        <f>Calendario!$B434</f>
        <v/>
      </c>
      <c r="C434" s="8" t="str">
        <f>Calendario!$C434</f>
        <v/>
      </c>
      <c r="D434" s="8" t="str">
        <f>Calendario!$D434</f>
        <v/>
      </c>
      <c r="E434" s="8" t="str">
        <f>Calendario!$E434</f>
        <v/>
      </c>
      <c r="F434" s="8" t="str">
        <f>Calendario!$F434</f>
        <v/>
      </c>
      <c r="G434" s="5"/>
      <c r="H434" s="6" t="str">
        <f t="shared" si="7"/>
        <v>0</v>
      </c>
      <c r="I434" s="6"/>
      <c r="J434" s="10" t="str">
        <f>'traspo ñ alterar'!$B434</f>
        <v/>
      </c>
      <c r="K434" s="6" t="str">
        <f t="shared" si="2"/>
        <v/>
      </c>
      <c r="L434" s="6" t="str">
        <f t="shared" si="8"/>
        <v/>
      </c>
      <c r="M434" s="6" t="str">
        <f t="shared" si="9"/>
        <v/>
      </c>
      <c r="N434" s="6" t="str">
        <f t="shared" si="5"/>
        <v>OCULTAR</v>
      </c>
    </row>
    <row r="435" ht="15.75" customHeight="1">
      <c r="A435" s="1"/>
      <c r="B435" s="8" t="str">
        <f>Calendario!$B435</f>
        <v/>
      </c>
      <c r="C435" s="8" t="str">
        <f>Calendario!$C435</f>
        <v/>
      </c>
      <c r="D435" s="8" t="str">
        <f>Calendario!$D435</f>
        <v/>
      </c>
      <c r="E435" s="8" t="str">
        <f>Calendario!$E435</f>
        <v/>
      </c>
      <c r="F435" s="8" t="str">
        <f>Calendario!$F435</f>
        <v/>
      </c>
      <c r="G435" s="5"/>
      <c r="H435" s="6" t="str">
        <f t="shared" si="7"/>
        <v>0</v>
      </c>
      <c r="I435" s="6"/>
      <c r="J435" s="10" t="str">
        <f>'traspo ñ alterar'!$B435</f>
        <v/>
      </c>
      <c r="K435" s="6" t="str">
        <f t="shared" si="2"/>
        <v/>
      </c>
      <c r="L435" s="6" t="str">
        <f t="shared" si="8"/>
        <v/>
      </c>
      <c r="M435" s="6" t="str">
        <f t="shared" si="9"/>
        <v/>
      </c>
      <c r="N435" s="6" t="str">
        <f t="shared" si="5"/>
        <v>OCULTAR</v>
      </c>
    </row>
    <row r="436" ht="15.75" customHeight="1">
      <c r="A436" s="1"/>
      <c r="B436" s="8" t="str">
        <f>Calendario!$B436</f>
        <v/>
      </c>
      <c r="C436" s="8" t="str">
        <f>Calendario!$C436</f>
        <v/>
      </c>
      <c r="D436" s="8" t="str">
        <f>Calendario!$D436</f>
        <v/>
      </c>
      <c r="E436" s="8" t="str">
        <f>Calendario!$E436</f>
        <v/>
      </c>
      <c r="F436" s="8" t="str">
        <f>Calendario!$F436</f>
        <v/>
      </c>
      <c r="G436" s="5"/>
      <c r="H436" s="6" t="str">
        <f t="shared" si="7"/>
        <v>0</v>
      </c>
      <c r="I436" s="6"/>
      <c r="J436" s="10" t="str">
        <f>'traspo ñ alterar'!$B436</f>
        <v/>
      </c>
      <c r="K436" s="6" t="str">
        <f t="shared" si="2"/>
        <v/>
      </c>
      <c r="L436" s="6" t="str">
        <f t="shared" si="8"/>
        <v/>
      </c>
      <c r="M436" s="6" t="str">
        <f t="shared" si="9"/>
        <v/>
      </c>
      <c r="N436" s="6" t="str">
        <f t="shared" si="5"/>
        <v>OCULTAR</v>
      </c>
    </row>
    <row r="437" ht="15.75" customHeight="1">
      <c r="A437" s="1"/>
      <c r="B437" s="8" t="str">
        <f>Calendario!$B437</f>
        <v/>
      </c>
      <c r="C437" s="8" t="str">
        <f>Calendario!$C437</f>
        <v/>
      </c>
      <c r="D437" s="8" t="str">
        <f>Calendario!$D437</f>
        <v/>
      </c>
      <c r="E437" s="8" t="str">
        <f>Calendario!$E437</f>
        <v/>
      </c>
      <c r="F437" s="8" t="str">
        <f>Calendario!$F437</f>
        <v/>
      </c>
      <c r="G437" s="5"/>
      <c r="H437" s="6" t="str">
        <f t="shared" si="7"/>
        <v>0</v>
      </c>
      <c r="I437" s="6"/>
      <c r="J437" s="10" t="str">
        <f>'traspo ñ alterar'!$B437</f>
        <v/>
      </c>
      <c r="K437" s="6" t="str">
        <f t="shared" si="2"/>
        <v/>
      </c>
      <c r="L437" s="6" t="str">
        <f t="shared" si="8"/>
        <v/>
      </c>
      <c r="M437" s="6" t="str">
        <f t="shared" si="9"/>
        <v/>
      </c>
      <c r="N437" s="6" t="str">
        <f t="shared" si="5"/>
        <v>OCULTAR</v>
      </c>
    </row>
    <row r="438" ht="15.75" customHeight="1">
      <c r="A438" s="1"/>
      <c r="B438" s="8" t="str">
        <f>Calendario!$B438</f>
        <v/>
      </c>
      <c r="C438" s="8" t="str">
        <f>Calendario!$C438</f>
        <v/>
      </c>
      <c r="D438" s="8" t="str">
        <f>Calendario!$D438</f>
        <v/>
      </c>
      <c r="E438" s="8" t="str">
        <f>Calendario!$E438</f>
        <v/>
      </c>
      <c r="F438" s="8" t="str">
        <f>Calendario!$F438</f>
        <v/>
      </c>
      <c r="G438" s="5"/>
      <c r="H438" s="6" t="str">
        <f t="shared" si="7"/>
        <v>0</v>
      </c>
      <c r="I438" s="6"/>
      <c r="J438" s="10" t="str">
        <f>'traspo ñ alterar'!$B438</f>
        <v/>
      </c>
      <c r="K438" s="6" t="str">
        <f t="shared" si="2"/>
        <v/>
      </c>
      <c r="L438" s="6" t="str">
        <f t="shared" si="8"/>
        <v/>
      </c>
      <c r="M438" s="6" t="str">
        <f t="shared" si="9"/>
        <v/>
      </c>
      <c r="N438" s="6" t="str">
        <f t="shared" si="5"/>
        <v>OCULTAR</v>
      </c>
    </row>
    <row r="439" ht="15.75" customHeight="1">
      <c r="A439" s="1"/>
      <c r="B439" s="8" t="str">
        <f>Calendario!$B439</f>
        <v/>
      </c>
      <c r="C439" s="8" t="str">
        <f>Calendario!$C439</f>
        <v/>
      </c>
      <c r="D439" s="8" t="str">
        <f>Calendario!$D439</f>
        <v/>
      </c>
      <c r="E439" s="8" t="str">
        <f>Calendario!$E439</f>
        <v/>
      </c>
      <c r="F439" s="8" t="str">
        <f>Calendario!$F439</f>
        <v/>
      </c>
      <c r="G439" s="5"/>
      <c r="H439" s="6" t="str">
        <f t="shared" si="7"/>
        <v>0</v>
      </c>
      <c r="I439" s="6"/>
      <c r="J439" s="10" t="str">
        <f>'traspo ñ alterar'!$B439</f>
        <v/>
      </c>
      <c r="K439" s="6" t="str">
        <f t="shared" si="2"/>
        <v/>
      </c>
      <c r="L439" s="6" t="str">
        <f t="shared" si="8"/>
        <v/>
      </c>
      <c r="M439" s="6" t="str">
        <f t="shared" si="9"/>
        <v/>
      </c>
      <c r="N439" s="6" t="str">
        <f t="shared" si="5"/>
        <v>OCULTAR</v>
      </c>
    </row>
    <row r="440" ht="15.75" customHeight="1">
      <c r="A440" s="1"/>
      <c r="B440" s="8" t="str">
        <f>Calendario!$B440</f>
        <v/>
      </c>
      <c r="C440" s="8" t="str">
        <f>Calendario!$C440</f>
        <v/>
      </c>
      <c r="D440" s="8" t="str">
        <f>Calendario!$D440</f>
        <v/>
      </c>
      <c r="E440" s="8" t="str">
        <f>Calendario!$E440</f>
        <v/>
      </c>
      <c r="F440" s="8" t="str">
        <f>Calendario!$F440</f>
        <v/>
      </c>
      <c r="G440" s="5"/>
      <c r="H440" s="6" t="str">
        <f t="shared" si="7"/>
        <v>0</v>
      </c>
      <c r="I440" s="6"/>
      <c r="J440" s="10" t="str">
        <f>'traspo ñ alterar'!$B440</f>
        <v/>
      </c>
      <c r="K440" s="6" t="str">
        <f t="shared" si="2"/>
        <v/>
      </c>
      <c r="L440" s="6" t="str">
        <f t="shared" si="8"/>
        <v/>
      </c>
      <c r="M440" s="6" t="str">
        <f t="shared" si="9"/>
        <v/>
      </c>
      <c r="N440" s="6" t="str">
        <f t="shared" si="5"/>
        <v>OCULTAR</v>
      </c>
    </row>
    <row r="441" ht="15.75" customHeight="1">
      <c r="A441" s="1"/>
      <c r="B441" s="8" t="str">
        <f>Calendario!$B441</f>
        <v/>
      </c>
      <c r="C441" s="8" t="str">
        <f>Calendario!$C441</f>
        <v/>
      </c>
      <c r="D441" s="8" t="str">
        <f>Calendario!$D441</f>
        <v/>
      </c>
      <c r="E441" s="8" t="str">
        <f>Calendario!$E441</f>
        <v/>
      </c>
      <c r="F441" s="8" t="str">
        <f>Calendario!$F441</f>
        <v/>
      </c>
      <c r="G441" s="5"/>
      <c r="H441" s="6" t="str">
        <f t="shared" si="7"/>
        <v>0</v>
      </c>
      <c r="I441" s="6"/>
      <c r="J441" s="10" t="str">
        <f>'traspo ñ alterar'!$B441</f>
        <v/>
      </c>
      <c r="K441" s="6" t="str">
        <f t="shared" si="2"/>
        <v/>
      </c>
      <c r="L441" s="6" t="str">
        <f t="shared" si="8"/>
        <v/>
      </c>
      <c r="M441" s="6" t="str">
        <f t="shared" si="9"/>
        <v/>
      </c>
      <c r="N441" s="6" t="str">
        <f t="shared" si="5"/>
        <v>OCULTAR</v>
      </c>
    </row>
    <row r="442" ht="15.75" customHeight="1">
      <c r="A442" s="1"/>
      <c r="B442" s="8" t="str">
        <f>Calendario!$B442</f>
        <v/>
      </c>
      <c r="C442" s="8" t="str">
        <f>Calendario!$C442</f>
        <v/>
      </c>
      <c r="D442" s="8" t="str">
        <f>Calendario!$D442</f>
        <v/>
      </c>
      <c r="E442" s="8" t="str">
        <f>Calendario!$E442</f>
        <v/>
      </c>
      <c r="F442" s="8" t="str">
        <f>Calendario!$F442</f>
        <v/>
      </c>
      <c r="G442" s="5"/>
      <c r="H442" s="6" t="str">
        <f t="shared" si="7"/>
        <v>0</v>
      </c>
      <c r="I442" s="6"/>
      <c r="J442" s="10" t="str">
        <f>'traspo ñ alterar'!$B442</f>
        <v/>
      </c>
      <c r="K442" s="6" t="str">
        <f t="shared" si="2"/>
        <v/>
      </c>
      <c r="L442" s="6" t="str">
        <f t="shared" si="8"/>
        <v/>
      </c>
      <c r="M442" s="6" t="str">
        <f t="shared" si="9"/>
        <v/>
      </c>
      <c r="N442" s="6" t="str">
        <f t="shared" si="5"/>
        <v>OCULTAR</v>
      </c>
    </row>
    <row r="443" ht="15.75" customHeight="1">
      <c r="A443" s="1"/>
      <c r="B443" s="8" t="str">
        <f>Calendario!$B443</f>
        <v/>
      </c>
      <c r="C443" s="8" t="str">
        <f>Calendario!$C443</f>
        <v/>
      </c>
      <c r="D443" s="8" t="str">
        <f>Calendario!$D443</f>
        <v/>
      </c>
      <c r="E443" s="8" t="str">
        <f>Calendario!$E443</f>
        <v/>
      </c>
      <c r="F443" s="8" t="str">
        <f>Calendario!$F443</f>
        <v/>
      </c>
      <c r="G443" s="5"/>
      <c r="H443" s="6" t="str">
        <f t="shared" si="7"/>
        <v>0</v>
      </c>
      <c r="I443" s="6"/>
      <c r="J443" s="10" t="str">
        <f>'traspo ñ alterar'!$B443</f>
        <v/>
      </c>
      <c r="K443" s="6" t="str">
        <f t="shared" si="2"/>
        <v/>
      </c>
      <c r="L443" s="6" t="str">
        <f t="shared" si="8"/>
        <v/>
      </c>
      <c r="M443" s="6" t="str">
        <f t="shared" si="9"/>
        <v/>
      </c>
      <c r="N443" s="6" t="str">
        <f t="shared" si="5"/>
        <v>OCULTAR</v>
      </c>
    </row>
    <row r="444" ht="15.75" customHeight="1">
      <c r="A444" s="1"/>
      <c r="B444" s="8" t="str">
        <f>Calendario!$B444</f>
        <v/>
      </c>
      <c r="C444" s="8" t="str">
        <f>Calendario!$C444</f>
        <v/>
      </c>
      <c r="D444" s="8" t="str">
        <f>Calendario!$D444</f>
        <v/>
      </c>
      <c r="E444" s="8" t="str">
        <f>Calendario!$E444</f>
        <v/>
      </c>
      <c r="F444" s="8" t="str">
        <f>Calendario!$F444</f>
        <v/>
      </c>
      <c r="G444" s="5"/>
      <c r="H444" s="6" t="str">
        <f t="shared" si="7"/>
        <v>0</v>
      </c>
      <c r="I444" s="6"/>
      <c r="J444" s="10" t="str">
        <f>'traspo ñ alterar'!$B444</f>
        <v/>
      </c>
      <c r="K444" s="6" t="str">
        <f t="shared" si="2"/>
        <v/>
      </c>
      <c r="L444" s="6" t="str">
        <f t="shared" si="8"/>
        <v/>
      </c>
      <c r="M444" s="6" t="str">
        <f t="shared" si="9"/>
        <v/>
      </c>
      <c r="N444" s="6" t="str">
        <f t="shared" si="5"/>
        <v>OCULTAR</v>
      </c>
    </row>
    <row r="445" ht="15.75" customHeight="1">
      <c r="A445" s="1"/>
      <c r="B445" s="8" t="str">
        <f>Calendario!$B445</f>
        <v/>
      </c>
      <c r="C445" s="8" t="str">
        <f>Calendario!$C445</f>
        <v/>
      </c>
      <c r="D445" s="8" t="str">
        <f>Calendario!$D445</f>
        <v/>
      </c>
      <c r="E445" s="8" t="str">
        <f>Calendario!$E445</f>
        <v/>
      </c>
      <c r="F445" s="8" t="str">
        <f>Calendario!$F445</f>
        <v/>
      </c>
      <c r="G445" s="5"/>
      <c r="H445" s="6" t="str">
        <f t="shared" si="7"/>
        <v>0</v>
      </c>
      <c r="I445" s="6"/>
      <c r="J445" s="10" t="str">
        <f>'traspo ñ alterar'!$B445</f>
        <v/>
      </c>
      <c r="K445" s="6" t="str">
        <f t="shared" si="2"/>
        <v/>
      </c>
      <c r="L445" s="6" t="str">
        <f t="shared" si="8"/>
        <v/>
      </c>
      <c r="M445" s="6" t="str">
        <f t="shared" si="9"/>
        <v/>
      </c>
      <c r="N445" s="6" t="str">
        <f t="shared" si="5"/>
        <v>OCULTAR</v>
      </c>
    </row>
    <row r="446" ht="15.75" customHeight="1">
      <c r="A446" s="1"/>
      <c r="B446" s="8" t="str">
        <f>Calendario!$B446</f>
        <v/>
      </c>
      <c r="C446" s="8" t="str">
        <f>Calendario!$C446</f>
        <v/>
      </c>
      <c r="D446" s="8" t="str">
        <f>Calendario!$D446</f>
        <v/>
      </c>
      <c r="E446" s="8" t="str">
        <f>Calendario!$E446</f>
        <v/>
      </c>
      <c r="F446" s="8" t="str">
        <f>Calendario!$F446</f>
        <v/>
      </c>
      <c r="G446" s="5"/>
      <c r="H446" s="6" t="str">
        <f t="shared" si="7"/>
        <v>0</v>
      </c>
      <c r="I446" s="6"/>
      <c r="J446" s="10" t="str">
        <f>'traspo ñ alterar'!$B446</f>
        <v/>
      </c>
      <c r="K446" s="6" t="str">
        <f t="shared" si="2"/>
        <v/>
      </c>
      <c r="L446" s="6" t="str">
        <f t="shared" si="8"/>
        <v/>
      </c>
      <c r="M446" s="6" t="str">
        <f t="shared" si="9"/>
        <v/>
      </c>
      <c r="N446" s="6" t="str">
        <f t="shared" si="5"/>
        <v>OCULTAR</v>
      </c>
    </row>
    <row r="447" ht="15.75" customHeight="1">
      <c r="A447" s="1"/>
      <c r="B447" s="8" t="str">
        <f>Calendario!$B447</f>
        <v/>
      </c>
      <c r="C447" s="8" t="str">
        <f>Calendario!$C447</f>
        <v/>
      </c>
      <c r="D447" s="8" t="str">
        <f>Calendario!$D447</f>
        <v/>
      </c>
      <c r="E447" s="8" t="str">
        <f>Calendario!$E447</f>
        <v/>
      </c>
      <c r="F447" s="8" t="str">
        <f>Calendario!$F447</f>
        <v/>
      </c>
      <c r="G447" s="5"/>
      <c r="H447" s="6" t="str">
        <f t="shared" si="7"/>
        <v>0</v>
      </c>
      <c r="I447" s="6"/>
      <c r="J447" s="10" t="str">
        <f>'traspo ñ alterar'!$B447</f>
        <v/>
      </c>
      <c r="K447" s="6" t="str">
        <f t="shared" si="2"/>
        <v/>
      </c>
      <c r="L447" s="6" t="str">
        <f t="shared" si="8"/>
        <v/>
      </c>
      <c r="M447" s="6" t="str">
        <f t="shared" si="9"/>
        <v/>
      </c>
      <c r="N447" s="6" t="str">
        <f t="shared" si="5"/>
        <v>OCULTAR</v>
      </c>
    </row>
    <row r="448" ht="15.75" customHeight="1">
      <c r="A448" s="1"/>
      <c r="B448" s="8" t="str">
        <f>Calendario!$B448</f>
        <v/>
      </c>
      <c r="C448" s="8" t="str">
        <f>Calendario!$C448</f>
        <v/>
      </c>
      <c r="D448" s="8" t="str">
        <f>Calendario!$D448</f>
        <v/>
      </c>
      <c r="E448" s="8" t="str">
        <f>Calendario!$E448</f>
        <v/>
      </c>
      <c r="F448" s="8" t="str">
        <f>Calendario!$F448</f>
        <v/>
      </c>
      <c r="G448" s="5"/>
      <c r="H448" s="6" t="str">
        <f t="shared" si="7"/>
        <v>0</v>
      </c>
      <c r="I448" s="6"/>
      <c r="J448" s="10" t="str">
        <f>'traspo ñ alterar'!$B448</f>
        <v/>
      </c>
      <c r="K448" s="6" t="str">
        <f t="shared" si="2"/>
        <v/>
      </c>
      <c r="L448" s="6" t="str">
        <f t="shared" si="8"/>
        <v/>
      </c>
      <c r="M448" s="6" t="str">
        <f t="shared" si="9"/>
        <v/>
      </c>
      <c r="N448" s="6" t="str">
        <f t="shared" si="5"/>
        <v>OCULTAR</v>
      </c>
    </row>
    <row r="449" ht="15.75" customHeight="1">
      <c r="A449" s="1"/>
      <c r="B449" s="8" t="str">
        <f>Calendario!$B449</f>
        <v/>
      </c>
      <c r="C449" s="8" t="str">
        <f>Calendario!$C449</f>
        <v/>
      </c>
      <c r="D449" s="8" t="str">
        <f>Calendario!$D449</f>
        <v/>
      </c>
      <c r="E449" s="8" t="str">
        <f>Calendario!$E449</f>
        <v/>
      </c>
      <c r="F449" s="8" t="str">
        <f>Calendario!$F449</f>
        <v/>
      </c>
      <c r="G449" s="5"/>
      <c r="H449" s="6" t="str">
        <f t="shared" si="7"/>
        <v>0</v>
      </c>
      <c r="I449" s="6"/>
      <c r="J449" s="10" t="str">
        <f>'traspo ñ alterar'!$B449</f>
        <v/>
      </c>
      <c r="K449" s="6" t="str">
        <f t="shared" si="2"/>
        <v/>
      </c>
      <c r="L449" s="6" t="str">
        <f t="shared" si="8"/>
        <v/>
      </c>
      <c r="M449" s="6" t="str">
        <f t="shared" si="9"/>
        <v/>
      </c>
      <c r="N449" s="6" t="str">
        <f t="shared" si="5"/>
        <v>OCULTAR</v>
      </c>
    </row>
    <row r="450" ht="15.75" customHeight="1">
      <c r="A450" s="1"/>
      <c r="B450" s="8" t="str">
        <f>Calendario!$B450</f>
        <v/>
      </c>
      <c r="C450" s="8" t="str">
        <f>Calendario!$C450</f>
        <v/>
      </c>
      <c r="D450" s="8" t="str">
        <f>Calendario!$D450</f>
        <v/>
      </c>
      <c r="E450" s="8" t="str">
        <f>Calendario!$E450</f>
        <v/>
      </c>
      <c r="F450" s="8" t="str">
        <f>Calendario!$F450</f>
        <v/>
      </c>
      <c r="G450" s="5"/>
      <c r="H450" s="6" t="str">
        <f t="shared" si="7"/>
        <v>0</v>
      </c>
      <c r="I450" s="6"/>
      <c r="J450" s="10" t="str">
        <f>'traspo ñ alterar'!$B450</f>
        <v/>
      </c>
      <c r="K450" s="6" t="str">
        <f t="shared" si="2"/>
        <v/>
      </c>
      <c r="L450" s="6" t="str">
        <f t="shared" si="8"/>
        <v/>
      </c>
      <c r="M450" s="6" t="str">
        <f t="shared" si="9"/>
        <v/>
      </c>
      <c r="N450" s="6" t="str">
        <f t="shared" si="5"/>
        <v>OCULTAR</v>
      </c>
    </row>
    <row r="451" ht="15.75" customHeight="1">
      <c r="A451" s="1"/>
      <c r="B451" s="8" t="str">
        <f>Calendario!$B451</f>
        <v/>
      </c>
      <c r="C451" s="8" t="str">
        <f>Calendario!$C451</f>
        <v/>
      </c>
      <c r="D451" s="8" t="str">
        <f>Calendario!$D451</f>
        <v/>
      </c>
      <c r="E451" s="8" t="str">
        <f>Calendario!$E451</f>
        <v/>
      </c>
      <c r="F451" s="8" t="str">
        <f>Calendario!$F451</f>
        <v/>
      </c>
      <c r="G451" s="5"/>
      <c r="H451" s="6" t="str">
        <f t="shared" si="7"/>
        <v>0</v>
      </c>
      <c r="I451" s="6"/>
      <c r="J451" s="10" t="str">
        <f>'traspo ñ alterar'!$B451</f>
        <v/>
      </c>
      <c r="K451" s="6" t="str">
        <f t="shared" si="2"/>
        <v/>
      </c>
      <c r="L451" s="6" t="str">
        <f t="shared" si="8"/>
        <v/>
      </c>
      <c r="M451" s="6" t="str">
        <f t="shared" si="9"/>
        <v/>
      </c>
      <c r="N451" s="6" t="str">
        <f t="shared" si="5"/>
        <v>OCULTAR</v>
      </c>
    </row>
    <row r="452" ht="15.75" customHeight="1">
      <c r="A452" s="1"/>
      <c r="B452" s="8" t="str">
        <f>Calendario!$B452</f>
        <v/>
      </c>
      <c r="C452" s="8" t="str">
        <f>Calendario!$C452</f>
        <v/>
      </c>
      <c r="D452" s="8" t="str">
        <f>Calendario!$D452</f>
        <v/>
      </c>
      <c r="E452" s="8" t="str">
        <f>Calendario!$E452</f>
        <v/>
      </c>
      <c r="F452" s="8" t="str">
        <f>Calendario!$F452</f>
        <v/>
      </c>
      <c r="G452" s="5"/>
      <c r="H452" s="6" t="str">
        <f t="shared" si="7"/>
        <v>0</v>
      </c>
      <c r="I452" s="6"/>
      <c r="J452" s="10" t="str">
        <f>'traspo ñ alterar'!$B452</f>
        <v/>
      </c>
      <c r="K452" s="6" t="str">
        <f t="shared" si="2"/>
        <v/>
      </c>
      <c r="L452" s="6" t="str">
        <f t="shared" si="8"/>
        <v/>
      </c>
      <c r="M452" s="6" t="str">
        <f t="shared" si="9"/>
        <v/>
      </c>
      <c r="N452" s="6" t="str">
        <f t="shared" si="5"/>
        <v>OCULTAR</v>
      </c>
    </row>
    <row r="453" ht="15.75" customHeight="1">
      <c r="A453" s="1"/>
      <c r="B453" s="8" t="str">
        <f>Calendario!$B453</f>
        <v/>
      </c>
      <c r="C453" s="8" t="str">
        <f>Calendario!$C453</f>
        <v/>
      </c>
      <c r="D453" s="8" t="str">
        <f>Calendario!$D453</f>
        <v/>
      </c>
      <c r="E453" s="8" t="str">
        <f>Calendario!$E453</f>
        <v/>
      </c>
      <c r="F453" s="8" t="str">
        <f>Calendario!$F453</f>
        <v/>
      </c>
      <c r="G453" s="5"/>
      <c r="H453" s="6" t="str">
        <f t="shared" si="7"/>
        <v>0</v>
      </c>
      <c r="I453" s="6"/>
      <c r="J453" s="10" t="str">
        <f>'traspo ñ alterar'!$B453</f>
        <v/>
      </c>
      <c r="K453" s="6" t="str">
        <f t="shared" si="2"/>
        <v/>
      </c>
      <c r="L453" s="6" t="str">
        <f t="shared" si="8"/>
        <v/>
      </c>
      <c r="M453" s="6" t="str">
        <f t="shared" si="9"/>
        <v/>
      </c>
      <c r="N453" s="6" t="str">
        <f t="shared" si="5"/>
        <v>OCULTAR</v>
      </c>
    </row>
    <row r="454" ht="15.75" customHeight="1">
      <c r="A454" s="1"/>
      <c r="B454" s="8" t="str">
        <f>Calendario!$B454</f>
        <v/>
      </c>
      <c r="C454" s="8" t="str">
        <f>Calendario!$C454</f>
        <v/>
      </c>
      <c r="D454" s="8" t="str">
        <f>Calendario!$D454</f>
        <v/>
      </c>
      <c r="E454" s="8" t="str">
        <f>Calendario!$E454</f>
        <v/>
      </c>
      <c r="F454" s="8" t="str">
        <f>Calendario!$F454</f>
        <v/>
      </c>
      <c r="G454" s="5"/>
      <c r="H454" s="6" t="str">
        <f t="shared" si="7"/>
        <v>0</v>
      </c>
      <c r="I454" s="6"/>
      <c r="J454" s="10" t="str">
        <f>'traspo ñ alterar'!$B454</f>
        <v/>
      </c>
      <c r="K454" s="6" t="str">
        <f t="shared" si="2"/>
        <v/>
      </c>
      <c r="L454" s="6" t="str">
        <f t="shared" si="8"/>
        <v/>
      </c>
      <c r="M454" s="6" t="str">
        <f t="shared" si="9"/>
        <v/>
      </c>
      <c r="N454" s="6" t="str">
        <f t="shared" si="5"/>
        <v>OCULTAR</v>
      </c>
    </row>
    <row r="455" ht="15.75" customHeight="1">
      <c r="A455" s="1"/>
      <c r="B455" s="8" t="str">
        <f>Calendario!$B455</f>
        <v/>
      </c>
      <c r="C455" s="8" t="str">
        <f>Calendario!$C455</f>
        <v/>
      </c>
      <c r="D455" s="8" t="str">
        <f>Calendario!$D455</f>
        <v/>
      </c>
      <c r="E455" s="8" t="str">
        <f>Calendario!$E455</f>
        <v/>
      </c>
      <c r="F455" s="8" t="str">
        <f>Calendario!$F455</f>
        <v/>
      </c>
      <c r="G455" s="5"/>
      <c r="H455" s="6" t="str">
        <f t="shared" si="7"/>
        <v>0</v>
      </c>
      <c r="I455" s="6"/>
      <c r="J455" s="10" t="str">
        <f>'traspo ñ alterar'!$B455</f>
        <v/>
      </c>
      <c r="K455" s="6" t="str">
        <f t="shared" si="2"/>
        <v/>
      </c>
      <c r="L455" s="6" t="str">
        <f t="shared" si="8"/>
        <v/>
      </c>
      <c r="M455" s="6" t="str">
        <f t="shared" si="9"/>
        <v/>
      </c>
      <c r="N455" s="6" t="str">
        <f t="shared" si="5"/>
        <v>OCULTAR</v>
      </c>
    </row>
    <row r="456" ht="15.75" customHeight="1">
      <c r="A456" s="1"/>
      <c r="B456" s="8" t="str">
        <f>Calendario!$B456</f>
        <v/>
      </c>
      <c r="C456" s="8" t="str">
        <f>Calendario!$C456</f>
        <v/>
      </c>
      <c r="D456" s="8" t="str">
        <f>Calendario!$D456</f>
        <v/>
      </c>
      <c r="E456" s="8" t="str">
        <f>Calendario!$E456</f>
        <v/>
      </c>
      <c r="F456" s="8" t="str">
        <f>Calendario!$F456</f>
        <v/>
      </c>
      <c r="G456" s="5"/>
      <c r="H456" s="6" t="str">
        <f t="shared" si="7"/>
        <v>0</v>
      </c>
      <c r="I456" s="6"/>
      <c r="J456" s="10" t="str">
        <f>'traspo ñ alterar'!$B456</f>
        <v/>
      </c>
      <c r="K456" s="6" t="str">
        <f t="shared" si="2"/>
        <v/>
      </c>
      <c r="L456" s="6" t="str">
        <f t="shared" si="8"/>
        <v/>
      </c>
      <c r="M456" s="6" t="str">
        <f t="shared" si="9"/>
        <v/>
      </c>
      <c r="N456" s="6" t="str">
        <f t="shared" si="5"/>
        <v>OCULTAR</v>
      </c>
    </row>
    <row r="457" ht="15.75" customHeight="1">
      <c r="A457" s="1"/>
      <c r="B457" s="8" t="str">
        <f>Calendario!$B457</f>
        <v/>
      </c>
      <c r="C457" s="8" t="str">
        <f>Calendario!$C457</f>
        <v/>
      </c>
      <c r="D457" s="8" t="str">
        <f>Calendario!$D457</f>
        <v/>
      </c>
      <c r="E457" s="8" t="str">
        <f>Calendario!$E457</f>
        <v/>
      </c>
      <c r="F457" s="8" t="str">
        <f>Calendario!$F457</f>
        <v/>
      </c>
      <c r="G457" s="5"/>
      <c r="H457" s="6" t="str">
        <f t="shared" si="7"/>
        <v>0</v>
      </c>
      <c r="I457" s="6"/>
      <c r="J457" s="10" t="str">
        <f>'traspo ñ alterar'!$B457</f>
        <v/>
      </c>
      <c r="K457" s="6" t="str">
        <f t="shared" si="2"/>
        <v/>
      </c>
      <c r="L457" s="6" t="str">
        <f t="shared" si="8"/>
        <v/>
      </c>
      <c r="M457" s="6" t="str">
        <f t="shared" si="9"/>
        <v/>
      </c>
      <c r="N457" s="6" t="str">
        <f t="shared" si="5"/>
        <v>OCULTAR</v>
      </c>
    </row>
    <row r="458" ht="15.75" customHeight="1">
      <c r="A458" s="1"/>
      <c r="B458" s="8" t="str">
        <f>Calendario!$B458</f>
        <v/>
      </c>
      <c r="C458" s="8" t="str">
        <f>Calendario!$C458</f>
        <v/>
      </c>
      <c r="D458" s="8" t="str">
        <f>Calendario!$D458</f>
        <v/>
      </c>
      <c r="E458" s="8" t="str">
        <f>Calendario!$E458</f>
        <v/>
      </c>
      <c r="F458" s="8" t="str">
        <f>Calendario!$F458</f>
        <v/>
      </c>
      <c r="G458" s="5"/>
      <c r="H458" s="6" t="str">
        <f t="shared" si="7"/>
        <v>0</v>
      </c>
      <c r="I458" s="6"/>
      <c r="J458" s="10" t="str">
        <f>'traspo ñ alterar'!$B458</f>
        <v/>
      </c>
      <c r="K458" s="6" t="str">
        <f t="shared" si="2"/>
        <v/>
      </c>
      <c r="L458" s="6" t="str">
        <f t="shared" si="8"/>
        <v/>
      </c>
      <c r="M458" s="6" t="str">
        <f t="shared" si="9"/>
        <v/>
      </c>
      <c r="N458" s="6" t="str">
        <f t="shared" si="5"/>
        <v>OCULTAR</v>
      </c>
    </row>
    <row r="459" ht="15.75" customHeight="1">
      <c r="A459" s="1"/>
      <c r="B459" s="8" t="str">
        <f>Calendario!$B459</f>
        <v/>
      </c>
      <c r="C459" s="8" t="str">
        <f>Calendario!$C459</f>
        <v/>
      </c>
      <c r="D459" s="8" t="str">
        <f>Calendario!$D459</f>
        <v/>
      </c>
      <c r="E459" s="8" t="str">
        <f>Calendario!$E459</f>
        <v/>
      </c>
      <c r="F459" s="8" t="str">
        <f>Calendario!$F459</f>
        <v/>
      </c>
      <c r="G459" s="5"/>
      <c r="H459" s="6" t="str">
        <f t="shared" si="7"/>
        <v>0</v>
      </c>
      <c r="I459" s="6"/>
      <c r="J459" s="10" t="str">
        <f>'traspo ñ alterar'!$B459</f>
        <v/>
      </c>
      <c r="K459" s="6" t="str">
        <f t="shared" si="2"/>
        <v/>
      </c>
      <c r="L459" s="6" t="str">
        <f t="shared" si="8"/>
        <v/>
      </c>
      <c r="M459" s="6" t="str">
        <f t="shared" si="9"/>
        <v/>
      </c>
      <c r="N459" s="6" t="str">
        <f t="shared" si="5"/>
        <v>OCULTAR</v>
      </c>
    </row>
    <row r="460" ht="15.75" customHeight="1">
      <c r="A460" s="1"/>
      <c r="B460" s="8" t="str">
        <f>Calendario!$B460</f>
        <v/>
      </c>
      <c r="C460" s="8" t="str">
        <f>Calendario!$C460</f>
        <v/>
      </c>
      <c r="D460" s="8" t="str">
        <f>Calendario!$D460</f>
        <v/>
      </c>
      <c r="E460" s="8" t="str">
        <f>Calendario!$E460</f>
        <v/>
      </c>
      <c r="F460" s="8" t="str">
        <f>Calendario!$F460</f>
        <v/>
      </c>
      <c r="G460" s="5"/>
      <c r="H460" s="6" t="str">
        <f t="shared" si="7"/>
        <v>0</v>
      </c>
      <c r="I460" s="6"/>
      <c r="J460" s="10" t="str">
        <f>'traspo ñ alterar'!$B460</f>
        <v/>
      </c>
      <c r="K460" s="6" t="str">
        <f t="shared" si="2"/>
        <v/>
      </c>
      <c r="L460" s="6" t="str">
        <f t="shared" si="8"/>
        <v/>
      </c>
      <c r="M460" s="6" t="str">
        <f t="shared" si="9"/>
        <v/>
      </c>
      <c r="N460" s="6" t="str">
        <f t="shared" si="5"/>
        <v>OCULTAR</v>
      </c>
    </row>
    <row r="461" ht="15.75" customHeight="1">
      <c r="A461" s="1"/>
      <c r="B461" s="8" t="str">
        <f>Calendario!$B461</f>
        <v/>
      </c>
      <c r="C461" s="8" t="str">
        <f>Calendario!$C461</f>
        <v/>
      </c>
      <c r="D461" s="8" t="str">
        <f>Calendario!$D461</f>
        <v/>
      </c>
      <c r="E461" s="8" t="str">
        <f>Calendario!$E461</f>
        <v/>
      </c>
      <c r="F461" s="8" t="str">
        <f>Calendario!$F461</f>
        <v/>
      </c>
      <c r="G461" s="5"/>
      <c r="H461" s="6" t="str">
        <f t="shared" si="7"/>
        <v>0</v>
      </c>
      <c r="I461" s="6"/>
      <c r="J461" s="10" t="str">
        <f>'traspo ñ alterar'!$B461</f>
        <v/>
      </c>
      <c r="K461" s="6" t="str">
        <f t="shared" si="2"/>
        <v/>
      </c>
      <c r="L461" s="6" t="str">
        <f t="shared" si="8"/>
        <v/>
      </c>
      <c r="M461" s="6" t="str">
        <f t="shared" si="9"/>
        <v/>
      </c>
      <c r="N461" s="6" t="str">
        <f t="shared" si="5"/>
        <v>OCULTAR</v>
      </c>
    </row>
    <row r="462" ht="15.75" customHeight="1">
      <c r="A462" s="1"/>
      <c r="B462" s="8" t="str">
        <f>Calendario!$B462</f>
        <v/>
      </c>
      <c r="C462" s="8" t="str">
        <f>Calendario!$C462</f>
        <v/>
      </c>
      <c r="D462" s="8" t="str">
        <f>Calendario!$D462</f>
        <v/>
      </c>
      <c r="E462" s="8" t="str">
        <f>Calendario!$E462</f>
        <v/>
      </c>
      <c r="F462" s="8" t="str">
        <f>Calendario!$F462</f>
        <v/>
      </c>
      <c r="G462" s="5"/>
      <c r="H462" s="6" t="str">
        <f t="shared" si="7"/>
        <v>0</v>
      </c>
      <c r="I462" s="6"/>
      <c r="J462" s="10" t="str">
        <f>'traspo ñ alterar'!$B462</f>
        <v/>
      </c>
      <c r="K462" s="6" t="str">
        <f t="shared" si="2"/>
        <v/>
      </c>
      <c r="L462" s="6" t="str">
        <f t="shared" si="8"/>
        <v/>
      </c>
      <c r="M462" s="6" t="str">
        <f t="shared" si="9"/>
        <v/>
      </c>
      <c r="N462" s="6" t="str">
        <f t="shared" si="5"/>
        <v>OCULTAR</v>
      </c>
    </row>
    <row r="463" ht="15.75" customHeight="1">
      <c r="A463" s="1"/>
      <c r="B463" s="8" t="str">
        <f>Calendario!$B463</f>
        <v/>
      </c>
      <c r="C463" s="8" t="str">
        <f>Calendario!$C463</f>
        <v/>
      </c>
      <c r="D463" s="8" t="str">
        <f>Calendario!$D463</f>
        <v/>
      </c>
      <c r="E463" s="8" t="str">
        <f>Calendario!$E463</f>
        <v/>
      </c>
      <c r="F463" s="8" t="str">
        <f>Calendario!$F463</f>
        <v/>
      </c>
      <c r="G463" s="5"/>
      <c r="H463" s="6" t="str">
        <f t="shared" si="7"/>
        <v>0</v>
      </c>
      <c r="I463" s="6"/>
      <c r="J463" s="10" t="str">
        <f>'traspo ñ alterar'!$B463</f>
        <v/>
      </c>
      <c r="K463" s="6" t="str">
        <f t="shared" si="2"/>
        <v/>
      </c>
      <c r="L463" s="6" t="str">
        <f t="shared" si="8"/>
        <v/>
      </c>
      <c r="M463" s="6" t="str">
        <f t="shared" si="9"/>
        <v/>
      </c>
      <c r="N463" s="6" t="str">
        <f t="shared" si="5"/>
        <v>OCULTAR</v>
      </c>
    </row>
    <row r="464" ht="15.75" customHeight="1">
      <c r="A464" s="1"/>
      <c r="B464" s="8" t="str">
        <f>Calendario!$B464</f>
        <v/>
      </c>
      <c r="C464" s="8" t="str">
        <f>Calendario!$C464</f>
        <v/>
      </c>
      <c r="D464" s="8" t="str">
        <f>Calendario!$D464</f>
        <v/>
      </c>
      <c r="E464" s="8" t="str">
        <f>Calendario!$E464</f>
        <v/>
      </c>
      <c r="F464" s="8" t="str">
        <f>Calendario!$F464</f>
        <v/>
      </c>
      <c r="G464" s="5"/>
      <c r="H464" s="6" t="str">
        <f t="shared" si="7"/>
        <v>0</v>
      </c>
      <c r="I464" s="6"/>
      <c r="J464" s="10" t="str">
        <f>'traspo ñ alterar'!$B464</f>
        <v/>
      </c>
      <c r="K464" s="6" t="str">
        <f t="shared" si="2"/>
        <v/>
      </c>
      <c r="L464" s="6" t="str">
        <f t="shared" si="8"/>
        <v/>
      </c>
      <c r="M464" s="6" t="str">
        <f t="shared" si="9"/>
        <v/>
      </c>
      <c r="N464" s="6" t="str">
        <f t="shared" si="5"/>
        <v>OCULTAR</v>
      </c>
    </row>
    <row r="465" ht="15.75" customHeight="1">
      <c r="A465" s="1"/>
      <c r="B465" s="8" t="str">
        <f>Calendario!$B465</f>
        <v/>
      </c>
      <c r="C465" s="8" t="str">
        <f>Calendario!$C465</f>
        <v/>
      </c>
      <c r="D465" s="8" t="str">
        <f>Calendario!$D465</f>
        <v/>
      </c>
      <c r="E465" s="8" t="str">
        <f>Calendario!$E465</f>
        <v/>
      </c>
      <c r="F465" s="8" t="str">
        <f>Calendario!$F465</f>
        <v/>
      </c>
      <c r="G465" s="5"/>
      <c r="H465" s="6" t="str">
        <f t="shared" si="7"/>
        <v>0</v>
      </c>
      <c r="I465" s="6"/>
      <c r="J465" s="10" t="str">
        <f>'traspo ñ alterar'!$B465</f>
        <v/>
      </c>
      <c r="K465" s="6" t="str">
        <f t="shared" si="2"/>
        <v/>
      </c>
      <c r="L465" s="6" t="str">
        <f t="shared" si="8"/>
        <v/>
      </c>
      <c r="M465" s="6" t="str">
        <f t="shared" si="9"/>
        <v/>
      </c>
      <c r="N465" s="6" t="str">
        <f t="shared" si="5"/>
        <v>OCULTAR</v>
      </c>
    </row>
    <row r="466" ht="15.75" customHeight="1">
      <c r="A466" s="1"/>
      <c r="B466" s="8" t="str">
        <f>Calendario!$B466</f>
        <v/>
      </c>
      <c r="C466" s="8" t="str">
        <f>Calendario!$C466</f>
        <v/>
      </c>
      <c r="D466" s="8" t="str">
        <f>Calendario!$D466</f>
        <v/>
      </c>
      <c r="E466" s="8" t="str">
        <f>Calendario!$E466</f>
        <v/>
      </c>
      <c r="F466" s="8" t="str">
        <f>Calendario!$F466</f>
        <v/>
      </c>
      <c r="G466" s="5"/>
      <c r="H466" s="6" t="str">
        <f t="shared" si="7"/>
        <v>0</v>
      </c>
      <c r="I466" s="6"/>
      <c r="J466" s="10" t="str">
        <f>'traspo ñ alterar'!$B466</f>
        <v/>
      </c>
      <c r="K466" s="6" t="str">
        <f t="shared" si="2"/>
        <v/>
      </c>
      <c r="L466" s="6" t="str">
        <f t="shared" si="8"/>
        <v/>
      </c>
      <c r="M466" s="6" t="str">
        <f t="shared" si="9"/>
        <v/>
      </c>
      <c r="N466" s="6" t="str">
        <f t="shared" si="5"/>
        <v>OCULTAR</v>
      </c>
    </row>
    <row r="467" ht="15.75" customHeight="1">
      <c r="A467" s="1"/>
      <c r="B467" s="8" t="str">
        <f>Calendario!$B467</f>
        <v/>
      </c>
      <c r="C467" s="8" t="str">
        <f>Calendario!$C467</f>
        <v/>
      </c>
      <c r="D467" s="8" t="str">
        <f>Calendario!$D467</f>
        <v/>
      </c>
      <c r="E467" s="8" t="str">
        <f>Calendario!$E467</f>
        <v/>
      </c>
      <c r="F467" s="8" t="str">
        <f>Calendario!$F467</f>
        <v/>
      </c>
      <c r="G467" s="5"/>
      <c r="H467" s="6" t="str">
        <f t="shared" si="7"/>
        <v>0</v>
      </c>
      <c r="I467" s="6"/>
      <c r="J467" s="10" t="str">
        <f>'traspo ñ alterar'!$B467</f>
        <v/>
      </c>
      <c r="K467" s="6" t="str">
        <f t="shared" si="2"/>
        <v/>
      </c>
      <c r="L467" s="6" t="str">
        <f t="shared" si="8"/>
        <v/>
      </c>
      <c r="M467" s="6" t="str">
        <f t="shared" si="9"/>
        <v/>
      </c>
      <c r="N467" s="6" t="str">
        <f t="shared" si="5"/>
        <v>OCULTAR</v>
      </c>
    </row>
    <row r="468" ht="15.75" customHeight="1">
      <c r="A468" s="1"/>
      <c r="B468" s="8" t="str">
        <f>Calendario!$B468</f>
        <v/>
      </c>
      <c r="C468" s="8" t="str">
        <f>Calendario!$C468</f>
        <v/>
      </c>
      <c r="D468" s="8" t="str">
        <f>Calendario!$D468</f>
        <v/>
      </c>
      <c r="E468" s="8" t="str">
        <f>Calendario!$E468</f>
        <v/>
      </c>
      <c r="F468" s="8" t="str">
        <f>Calendario!$F468</f>
        <v/>
      </c>
      <c r="G468" s="5"/>
      <c r="H468" s="6" t="str">
        <f t="shared" si="7"/>
        <v>0</v>
      </c>
      <c r="I468" s="6"/>
      <c r="J468" s="10" t="str">
        <f>'traspo ñ alterar'!$B468</f>
        <v/>
      </c>
      <c r="K468" s="6" t="str">
        <f t="shared" si="2"/>
        <v/>
      </c>
      <c r="L468" s="6" t="str">
        <f t="shared" si="8"/>
        <v/>
      </c>
      <c r="M468" s="6" t="str">
        <f t="shared" si="9"/>
        <v/>
      </c>
      <c r="N468" s="6" t="str">
        <f t="shared" si="5"/>
        <v>OCULTAR</v>
      </c>
    </row>
    <row r="469" ht="15.75" customHeight="1">
      <c r="A469" s="1"/>
      <c r="B469" s="8" t="str">
        <f>Calendario!$B469</f>
        <v/>
      </c>
      <c r="C469" s="8" t="str">
        <f>Calendario!$C469</f>
        <v/>
      </c>
      <c r="D469" s="8" t="str">
        <f>Calendario!$D469</f>
        <v/>
      </c>
      <c r="E469" s="8" t="str">
        <f>Calendario!$E469</f>
        <v/>
      </c>
      <c r="F469" s="8" t="str">
        <f>Calendario!$F469</f>
        <v/>
      </c>
      <c r="G469" s="5"/>
      <c r="H469" s="6" t="str">
        <f t="shared" si="7"/>
        <v>0</v>
      </c>
      <c r="I469" s="6"/>
      <c r="J469" s="10" t="str">
        <f>'traspo ñ alterar'!$B469</f>
        <v/>
      </c>
      <c r="K469" s="6" t="str">
        <f t="shared" si="2"/>
        <v/>
      </c>
      <c r="L469" s="6" t="str">
        <f t="shared" si="8"/>
        <v/>
      </c>
      <c r="M469" s="6" t="str">
        <f t="shared" si="9"/>
        <v/>
      </c>
      <c r="N469" s="6" t="str">
        <f t="shared" si="5"/>
        <v>OCULTAR</v>
      </c>
    </row>
    <row r="470" ht="15.75" customHeight="1">
      <c r="A470" s="1"/>
      <c r="B470" s="8" t="str">
        <f>Calendario!$B470</f>
        <v/>
      </c>
      <c r="C470" s="8" t="str">
        <f>Calendario!$C470</f>
        <v/>
      </c>
      <c r="D470" s="8" t="str">
        <f>Calendario!$D470</f>
        <v/>
      </c>
      <c r="E470" s="8" t="str">
        <f>Calendario!$E470</f>
        <v/>
      </c>
      <c r="F470" s="8" t="str">
        <f>Calendario!$F470</f>
        <v/>
      </c>
      <c r="G470" s="5"/>
      <c r="H470" s="6" t="str">
        <f t="shared" si="7"/>
        <v>0</v>
      </c>
      <c r="I470" s="6"/>
      <c r="J470" s="10" t="str">
        <f>'traspo ñ alterar'!$B470</f>
        <v/>
      </c>
      <c r="K470" s="6" t="str">
        <f t="shared" si="2"/>
        <v/>
      </c>
      <c r="L470" s="6" t="str">
        <f t="shared" si="8"/>
        <v/>
      </c>
      <c r="M470" s="6" t="str">
        <f t="shared" si="9"/>
        <v/>
      </c>
      <c r="N470" s="6" t="str">
        <f t="shared" si="5"/>
        <v>OCULTAR</v>
      </c>
    </row>
    <row r="471" ht="15.75" customHeight="1">
      <c r="A471" s="1"/>
      <c r="B471" s="8" t="str">
        <f>Calendario!$B471</f>
        <v/>
      </c>
      <c r="C471" s="8" t="str">
        <f>Calendario!$C471</f>
        <v/>
      </c>
      <c r="D471" s="8" t="str">
        <f>Calendario!$D471</f>
        <v/>
      </c>
      <c r="E471" s="8" t="str">
        <f>Calendario!$E471</f>
        <v/>
      </c>
      <c r="F471" s="8" t="str">
        <f>Calendario!$F471</f>
        <v/>
      </c>
      <c r="G471" s="5"/>
      <c r="H471" s="6" t="str">
        <f t="shared" si="7"/>
        <v>0</v>
      </c>
      <c r="I471" s="6"/>
      <c r="J471" s="10" t="str">
        <f>'traspo ñ alterar'!$B471</f>
        <v/>
      </c>
      <c r="K471" s="6" t="str">
        <f t="shared" si="2"/>
        <v/>
      </c>
      <c r="L471" s="6" t="str">
        <f t="shared" si="8"/>
        <v/>
      </c>
      <c r="M471" s="6" t="str">
        <f t="shared" si="9"/>
        <v/>
      </c>
      <c r="N471" s="6" t="str">
        <f t="shared" si="5"/>
        <v>OCULTAR</v>
      </c>
    </row>
    <row r="472" ht="15.75" customHeight="1">
      <c r="A472" s="1"/>
      <c r="B472" s="8" t="str">
        <f>Calendario!$B472</f>
        <v/>
      </c>
      <c r="C472" s="8" t="str">
        <f>Calendario!$C472</f>
        <v/>
      </c>
      <c r="D472" s="8" t="str">
        <f>Calendario!$D472</f>
        <v/>
      </c>
      <c r="E472" s="8" t="str">
        <f>Calendario!$E472</f>
        <v/>
      </c>
      <c r="F472" s="8" t="str">
        <f>Calendario!$F472</f>
        <v/>
      </c>
      <c r="G472" s="5"/>
      <c r="H472" s="6" t="str">
        <f t="shared" si="7"/>
        <v>0</v>
      </c>
      <c r="I472" s="6"/>
      <c r="J472" s="10" t="str">
        <f>'traspo ñ alterar'!$B472</f>
        <v/>
      </c>
      <c r="K472" s="6" t="str">
        <f t="shared" si="2"/>
        <v/>
      </c>
      <c r="L472" s="6" t="str">
        <f t="shared" si="8"/>
        <v/>
      </c>
      <c r="M472" s="6" t="str">
        <f t="shared" si="9"/>
        <v/>
      </c>
      <c r="N472" s="6" t="str">
        <f t="shared" si="5"/>
        <v>OCULTAR</v>
      </c>
    </row>
    <row r="473" ht="15.75" customHeight="1">
      <c r="A473" s="1"/>
      <c r="B473" s="8" t="str">
        <f>Calendario!$B473</f>
        <v/>
      </c>
      <c r="C473" s="8" t="str">
        <f>Calendario!$C473</f>
        <v/>
      </c>
      <c r="D473" s="8" t="str">
        <f>Calendario!$D473</f>
        <v/>
      </c>
      <c r="E473" s="8" t="str">
        <f>Calendario!$E473</f>
        <v/>
      </c>
      <c r="F473" s="8" t="str">
        <f>Calendario!$F473</f>
        <v/>
      </c>
      <c r="G473" s="5"/>
      <c r="H473" s="6" t="str">
        <f t="shared" si="7"/>
        <v>0</v>
      </c>
      <c r="I473" s="6"/>
      <c r="J473" s="10" t="str">
        <f>'traspo ñ alterar'!$B473</f>
        <v/>
      </c>
      <c r="K473" s="6" t="str">
        <f t="shared" si="2"/>
        <v/>
      </c>
      <c r="L473" s="6" t="str">
        <f t="shared" si="8"/>
        <v/>
      </c>
      <c r="M473" s="6" t="str">
        <f t="shared" si="9"/>
        <v/>
      </c>
      <c r="N473" s="6" t="str">
        <f t="shared" si="5"/>
        <v>OCULTAR</v>
      </c>
    </row>
    <row r="474" ht="15.75" customHeight="1">
      <c r="A474" s="1"/>
      <c r="B474" s="8" t="str">
        <f>Calendario!$B474</f>
        <v/>
      </c>
      <c r="C474" s="8" t="str">
        <f>Calendario!$C474</f>
        <v/>
      </c>
      <c r="D474" s="8" t="str">
        <f>Calendario!$D474</f>
        <v/>
      </c>
      <c r="E474" s="8" t="str">
        <f>Calendario!$E474</f>
        <v/>
      </c>
      <c r="F474" s="8" t="str">
        <f>Calendario!$F474</f>
        <v/>
      </c>
      <c r="G474" s="5"/>
      <c r="H474" s="6" t="str">
        <f t="shared" si="7"/>
        <v>0</v>
      </c>
      <c r="I474" s="6"/>
      <c r="J474" s="10" t="str">
        <f>'traspo ñ alterar'!$B474</f>
        <v/>
      </c>
      <c r="K474" s="6" t="str">
        <f t="shared" si="2"/>
        <v/>
      </c>
      <c r="L474" s="6" t="str">
        <f t="shared" si="8"/>
        <v/>
      </c>
      <c r="M474" s="6" t="str">
        <f t="shared" si="9"/>
        <v/>
      </c>
      <c r="N474" s="6" t="str">
        <f t="shared" si="5"/>
        <v>OCULTAR</v>
      </c>
    </row>
    <row r="475" ht="15.75" customHeight="1">
      <c r="A475" s="1"/>
      <c r="B475" s="8" t="str">
        <f>Calendario!$B475</f>
        <v/>
      </c>
      <c r="C475" s="8" t="str">
        <f>Calendario!$C475</f>
        <v/>
      </c>
      <c r="D475" s="8" t="str">
        <f>Calendario!$D475</f>
        <v/>
      </c>
      <c r="E475" s="8" t="str">
        <f>Calendario!$E475</f>
        <v/>
      </c>
      <c r="F475" s="8" t="str">
        <f>Calendario!$F475</f>
        <v/>
      </c>
      <c r="G475" s="5"/>
      <c r="H475" s="6" t="str">
        <f t="shared" si="7"/>
        <v>0</v>
      </c>
      <c r="I475" s="6"/>
      <c r="J475" s="10" t="str">
        <f>'traspo ñ alterar'!$B475</f>
        <v/>
      </c>
      <c r="K475" s="6" t="str">
        <f t="shared" si="2"/>
        <v/>
      </c>
      <c r="L475" s="6" t="str">
        <f t="shared" si="8"/>
        <v/>
      </c>
      <c r="M475" s="6" t="str">
        <f t="shared" si="9"/>
        <v/>
      </c>
      <c r="N475" s="6" t="str">
        <f t="shared" si="5"/>
        <v>OCULTAR</v>
      </c>
    </row>
    <row r="476" ht="15.75" customHeight="1">
      <c r="A476" s="1"/>
      <c r="B476" s="8" t="str">
        <f>Calendario!$B476</f>
        <v/>
      </c>
      <c r="C476" s="8" t="str">
        <f>Calendario!$C476</f>
        <v/>
      </c>
      <c r="D476" s="8" t="str">
        <f>Calendario!$D476</f>
        <v/>
      </c>
      <c r="E476" s="8" t="str">
        <f>Calendario!$E476</f>
        <v/>
      </c>
      <c r="F476" s="8" t="str">
        <f>Calendario!$F476</f>
        <v/>
      </c>
      <c r="G476" s="5"/>
      <c r="H476" s="6" t="str">
        <f t="shared" si="7"/>
        <v>0</v>
      </c>
      <c r="I476" s="6"/>
      <c r="J476" s="10" t="str">
        <f>'traspo ñ alterar'!$B476</f>
        <v/>
      </c>
      <c r="K476" s="6" t="str">
        <f t="shared" si="2"/>
        <v/>
      </c>
      <c r="L476" s="6" t="str">
        <f t="shared" si="8"/>
        <v/>
      </c>
      <c r="M476" s="6" t="str">
        <f t="shared" si="9"/>
        <v/>
      </c>
      <c r="N476" s="6" t="str">
        <f t="shared" si="5"/>
        <v>OCULTAR</v>
      </c>
    </row>
    <row r="477" ht="15.75" customHeight="1">
      <c r="A477" s="1"/>
      <c r="B477" s="8" t="str">
        <f>Calendario!$B477</f>
        <v/>
      </c>
      <c r="C477" s="8" t="str">
        <f>Calendario!$C477</f>
        <v/>
      </c>
      <c r="D477" s="8" t="str">
        <f>Calendario!$D477</f>
        <v/>
      </c>
      <c r="E477" s="8" t="str">
        <f>Calendario!$E477</f>
        <v/>
      </c>
      <c r="F477" s="8" t="str">
        <f>Calendario!$F477</f>
        <v/>
      </c>
      <c r="G477" s="5"/>
      <c r="H477" s="6" t="str">
        <f t="shared" si="7"/>
        <v>0</v>
      </c>
      <c r="I477" s="6"/>
      <c r="J477" s="10" t="str">
        <f>'traspo ñ alterar'!$B477</f>
        <v/>
      </c>
      <c r="K477" s="6" t="str">
        <f t="shared" si="2"/>
        <v/>
      </c>
      <c r="L477" s="6" t="str">
        <f t="shared" si="8"/>
        <v/>
      </c>
      <c r="M477" s="6" t="str">
        <f t="shared" si="9"/>
        <v/>
      </c>
      <c r="N477" s="6" t="str">
        <f t="shared" si="5"/>
        <v>OCULTAR</v>
      </c>
    </row>
    <row r="478" ht="15.75" customHeight="1">
      <c r="A478" s="1"/>
      <c r="B478" s="8" t="str">
        <f>Calendario!$B478</f>
        <v/>
      </c>
      <c r="C478" s="8" t="str">
        <f>Calendario!$C478</f>
        <v/>
      </c>
      <c r="D478" s="8" t="str">
        <f>Calendario!$D478</f>
        <v/>
      </c>
      <c r="E478" s="8" t="str">
        <f>Calendario!$E478</f>
        <v/>
      </c>
      <c r="F478" s="8" t="str">
        <f>Calendario!$F478</f>
        <v/>
      </c>
      <c r="G478" s="5"/>
      <c r="H478" s="6" t="str">
        <f t="shared" si="7"/>
        <v>0</v>
      </c>
      <c r="I478" s="6"/>
      <c r="J478" s="10" t="str">
        <f>'traspo ñ alterar'!$B478</f>
        <v/>
      </c>
      <c r="K478" s="6" t="str">
        <f t="shared" si="2"/>
        <v/>
      </c>
      <c r="L478" s="6" t="str">
        <f t="shared" si="8"/>
        <v/>
      </c>
      <c r="M478" s="6" t="str">
        <f t="shared" si="9"/>
        <v/>
      </c>
      <c r="N478" s="6" t="str">
        <f t="shared" si="5"/>
        <v>OCULTAR</v>
      </c>
    </row>
    <row r="479" ht="15.75" customHeight="1">
      <c r="A479" s="1"/>
      <c r="B479" s="8" t="str">
        <f>Calendario!$B479</f>
        <v/>
      </c>
      <c r="C479" s="8" t="str">
        <f>Calendario!$C479</f>
        <v/>
      </c>
      <c r="D479" s="8" t="str">
        <f>Calendario!$D479</f>
        <v/>
      </c>
      <c r="E479" s="8" t="str">
        <f>Calendario!$E479</f>
        <v/>
      </c>
      <c r="F479" s="8" t="str">
        <f>Calendario!$F479</f>
        <v/>
      </c>
      <c r="G479" s="5"/>
      <c r="H479" s="6" t="str">
        <f t="shared" si="7"/>
        <v>0</v>
      </c>
      <c r="I479" s="6"/>
      <c r="J479" s="10" t="str">
        <f>'traspo ñ alterar'!$B479</f>
        <v/>
      </c>
      <c r="K479" s="6" t="str">
        <f t="shared" si="2"/>
        <v/>
      </c>
      <c r="L479" s="6" t="str">
        <f t="shared" si="8"/>
        <v/>
      </c>
      <c r="M479" s="6" t="str">
        <f t="shared" si="9"/>
        <v/>
      </c>
      <c r="N479" s="6" t="str">
        <f t="shared" si="5"/>
        <v>OCULTAR</v>
      </c>
    </row>
    <row r="480" ht="15.75" customHeight="1">
      <c r="A480" s="1"/>
      <c r="B480" s="8" t="str">
        <f>Calendario!$B480</f>
        <v/>
      </c>
      <c r="C480" s="8" t="str">
        <f>Calendario!$C480</f>
        <v/>
      </c>
      <c r="D480" s="8" t="str">
        <f>Calendario!$D480</f>
        <v/>
      </c>
      <c r="E480" s="8" t="str">
        <f>Calendario!$E480</f>
        <v/>
      </c>
      <c r="F480" s="8" t="str">
        <f>Calendario!$F480</f>
        <v/>
      </c>
      <c r="G480" s="5"/>
      <c r="H480" s="6" t="str">
        <f t="shared" si="7"/>
        <v>0</v>
      </c>
      <c r="I480" s="6"/>
      <c r="J480" s="10" t="str">
        <f>'traspo ñ alterar'!$B480</f>
        <v/>
      </c>
      <c r="K480" s="6" t="str">
        <f t="shared" si="2"/>
        <v/>
      </c>
      <c r="L480" s="6" t="str">
        <f t="shared" si="8"/>
        <v/>
      </c>
      <c r="M480" s="6" t="str">
        <f t="shared" si="9"/>
        <v/>
      </c>
      <c r="N480" s="6" t="str">
        <f t="shared" si="5"/>
        <v>OCULTAR</v>
      </c>
    </row>
    <row r="481" ht="15.75" customHeight="1">
      <c r="A481" s="1"/>
      <c r="B481" s="8" t="str">
        <f>Calendario!$B481</f>
        <v/>
      </c>
      <c r="C481" s="8" t="str">
        <f>Calendario!$C481</f>
        <v/>
      </c>
      <c r="D481" s="8" t="str">
        <f>Calendario!$D481</f>
        <v/>
      </c>
      <c r="E481" s="8" t="str">
        <f>Calendario!$E481</f>
        <v/>
      </c>
      <c r="F481" s="8" t="str">
        <f>Calendario!$F481</f>
        <v/>
      </c>
      <c r="G481" s="5"/>
      <c r="H481" s="6" t="str">
        <f t="shared" si="7"/>
        <v>0</v>
      </c>
      <c r="I481" s="6"/>
      <c r="J481" s="10" t="str">
        <f>'traspo ñ alterar'!$B481</f>
        <v/>
      </c>
      <c r="K481" s="6" t="str">
        <f t="shared" si="2"/>
        <v/>
      </c>
      <c r="L481" s="6" t="str">
        <f t="shared" si="8"/>
        <v/>
      </c>
      <c r="M481" s="6" t="str">
        <f t="shared" si="9"/>
        <v/>
      </c>
      <c r="N481" s="6" t="str">
        <f t="shared" si="5"/>
        <v>OCULTAR</v>
      </c>
    </row>
    <row r="482" ht="15.75" customHeight="1">
      <c r="A482" s="1"/>
      <c r="B482" s="8" t="str">
        <f>Calendario!$B482</f>
        <v/>
      </c>
      <c r="C482" s="8" t="str">
        <f>Calendario!$C482</f>
        <v/>
      </c>
      <c r="D482" s="8" t="str">
        <f>Calendario!$D482</f>
        <v/>
      </c>
      <c r="E482" s="8" t="str">
        <f>Calendario!$E482</f>
        <v/>
      </c>
      <c r="F482" s="8" t="str">
        <f>Calendario!$F482</f>
        <v/>
      </c>
      <c r="G482" s="5"/>
      <c r="H482" s="6" t="str">
        <f t="shared" si="7"/>
        <v>0</v>
      </c>
      <c r="I482" s="6"/>
      <c r="J482" s="10" t="str">
        <f>'traspo ñ alterar'!$B482</f>
        <v/>
      </c>
      <c r="K482" s="6" t="str">
        <f t="shared" si="2"/>
        <v/>
      </c>
      <c r="L482" s="6" t="str">
        <f t="shared" si="8"/>
        <v/>
      </c>
      <c r="M482" s="6" t="str">
        <f t="shared" si="9"/>
        <v/>
      </c>
      <c r="N482" s="6" t="str">
        <f t="shared" si="5"/>
        <v>OCULTAR</v>
      </c>
    </row>
    <row r="483" ht="15.75" customHeight="1">
      <c r="A483" s="1"/>
      <c r="B483" s="8" t="str">
        <f>Calendario!$B483</f>
        <v/>
      </c>
      <c r="C483" s="8" t="str">
        <f>Calendario!$C483</f>
        <v/>
      </c>
      <c r="D483" s="8" t="str">
        <f>Calendario!$D483</f>
        <v/>
      </c>
      <c r="E483" s="8" t="str">
        <f>Calendario!$E483</f>
        <v/>
      </c>
      <c r="F483" s="8" t="str">
        <f>Calendario!$F483</f>
        <v/>
      </c>
      <c r="G483" s="5"/>
      <c r="H483" s="6" t="str">
        <f t="shared" si="7"/>
        <v>0</v>
      </c>
      <c r="I483" s="6"/>
      <c r="J483" s="10" t="str">
        <f>'traspo ñ alterar'!$B483</f>
        <v/>
      </c>
      <c r="K483" s="6" t="str">
        <f t="shared" si="2"/>
        <v/>
      </c>
      <c r="L483" s="6" t="str">
        <f t="shared" si="8"/>
        <v/>
      </c>
      <c r="M483" s="6" t="str">
        <f t="shared" si="9"/>
        <v/>
      </c>
      <c r="N483" s="6" t="str">
        <f t="shared" si="5"/>
        <v>OCULTAR</v>
      </c>
    </row>
    <row r="484" ht="15.75" customHeight="1">
      <c r="A484" s="1"/>
      <c r="B484" s="8" t="str">
        <f>Calendario!$B484</f>
        <v/>
      </c>
      <c r="C484" s="8" t="str">
        <f>Calendario!$C484</f>
        <v/>
      </c>
      <c r="D484" s="8" t="str">
        <f>Calendario!$D484</f>
        <v/>
      </c>
      <c r="E484" s="8" t="str">
        <f>Calendario!$E484</f>
        <v/>
      </c>
      <c r="F484" s="8" t="str">
        <f>Calendario!$F484</f>
        <v/>
      </c>
      <c r="G484" s="5"/>
      <c r="H484" s="6" t="str">
        <f t="shared" si="7"/>
        <v>0</v>
      </c>
      <c r="I484" s="6"/>
      <c r="J484" s="10" t="str">
        <f>'traspo ñ alterar'!$B484</f>
        <v/>
      </c>
      <c r="K484" s="6" t="str">
        <f t="shared" si="2"/>
        <v/>
      </c>
      <c r="L484" s="6" t="str">
        <f t="shared" si="8"/>
        <v/>
      </c>
      <c r="M484" s="6" t="str">
        <f t="shared" si="9"/>
        <v/>
      </c>
      <c r="N484" s="6" t="str">
        <f t="shared" si="5"/>
        <v>OCULTAR</v>
      </c>
    </row>
    <row r="485" ht="15.75" customHeight="1">
      <c r="A485" s="1"/>
      <c r="B485" s="8" t="str">
        <f>Calendario!$B485</f>
        <v/>
      </c>
      <c r="C485" s="8" t="str">
        <f>Calendario!$C485</f>
        <v/>
      </c>
      <c r="D485" s="8" t="str">
        <f>Calendario!$D485</f>
        <v/>
      </c>
      <c r="E485" s="8" t="str">
        <f>Calendario!$E485</f>
        <v/>
      </c>
      <c r="F485" s="8" t="str">
        <f>Calendario!$F485</f>
        <v/>
      </c>
      <c r="G485" s="5"/>
      <c r="H485" s="6" t="str">
        <f t="shared" si="7"/>
        <v>0</v>
      </c>
      <c r="I485" s="6"/>
      <c r="J485" s="10" t="str">
        <f>'traspo ñ alterar'!$B485</f>
        <v/>
      </c>
      <c r="K485" s="6" t="str">
        <f t="shared" si="2"/>
        <v/>
      </c>
      <c r="L485" s="6" t="str">
        <f t="shared" si="8"/>
        <v/>
      </c>
      <c r="M485" s="6" t="str">
        <f t="shared" si="9"/>
        <v/>
      </c>
      <c r="N485" s="6" t="str">
        <f t="shared" si="5"/>
        <v>OCULTAR</v>
      </c>
    </row>
    <row r="486" ht="15.75" customHeight="1">
      <c r="A486" s="1"/>
      <c r="B486" s="8" t="str">
        <f>Calendario!$B486</f>
        <v/>
      </c>
      <c r="C486" s="8" t="str">
        <f>Calendario!$C486</f>
        <v/>
      </c>
      <c r="D486" s="8" t="str">
        <f>Calendario!$D486</f>
        <v/>
      </c>
      <c r="E486" s="8" t="str">
        <f>Calendario!$E486</f>
        <v/>
      </c>
      <c r="F486" s="8" t="str">
        <f>Calendario!$F486</f>
        <v/>
      </c>
      <c r="G486" s="5"/>
      <c r="H486" s="6" t="str">
        <f t="shared" si="7"/>
        <v>0</v>
      </c>
      <c r="I486" s="6"/>
      <c r="J486" s="10" t="str">
        <f>'traspo ñ alterar'!$B486</f>
        <v/>
      </c>
      <c r="K486" s="6" t="str">
        <f t="shared" si="2"/>
        <v/>
      </c>
      <c r="L486" s="6" t="str">
        <f t="shared" si="8"/>
        <v/>
      </c>
      <c r="M486" s="6" t="str">
        <f t="shared" si="9"/>
        <v/>
      </c>
      <c r="N486" s="6" t="str">
        <f t="shared" si="5"/>
        <v>OCULTAR</v>
      </c>
    </row>
    <row r="487" ht="15.75" customHeight="1">
      <c r="A487" s="1"/>
      <c r="B487" s="8" t="str">
        <f>Calendario!$B487</f>
        <v/>
      </c>
      <c r="C487" s="8" t="str">
        <f>Calendario!$C487</f>
        <v/>
      </c>
      <c r="D487" s="8" t="str">
        <f>Calendario!$D487</f>
        <v/>
      </c>
      <c r="E487" s="8" t="str">
        <f>Calendario!$E487</f>
        <v/>
      </c>
      <c r="F487" s="8" t="str">
        <f>Calendario!$F487</f>
        <v/>
      </c>
      <c r="G487" s="5"/>
      <c r="H487" s="6" t="str">
        <f t="shared" si="7"/>
        <v>0</v>
      </c>
      <c r="I487" s="6"/>
      <c r="J487" s="10" t="str">
        <f>'traspo ñ alterar'!$B487</f>
        <v/>
      </c>
      <c r="K487" s="6" t="str">
        <f t="shared" si="2"/>
        <v/>
      </c>
      <c r="L487" s="6" t="str">
        <f t="shared" si="8"/>
        <v/>
      </c>
      <c r="M487" s="6" t="str">
        <f t="shared" si="9"/>
        <v/>
      </c>
      <c r="N487" s="6" t="str">
        <f t="shared" si="5"/>
        <v>OCULTAR</v>
      </c>
    </row>
    <row r="488" ht="15.75" customHeight="1">
      <c r="A488" s="1"/>
      <c r="B488" s="8" t="str">
        <f>Calendario!$B488</f>
        <v/>
      </c>
      <c r="C488" s="8" t="str">
        <f>Calendario!$C488</f>
        <v/>
      </c>
      <c r="D488" s="8" t="str">
        <f>Calendario!$D488</f>
        <v/>
      </c>
      <c r="E488" s="8" t="str">
        <f>Calendario!$E488</f>
        <v/>
      </c>
      <c r="F488" s="8" t="str">
        <f>Calendario!$F488</f>
        <v/>
      </c>
      <c r="G488" s="5"/>
      <c r="H488" s="6" t="str">
        <f t="shared" si="7"/>
        <v>0</v>
      </c>
      <c r="I488" s="6"/>
      <c r="J488" s="10" t="str">
        <f>'traspo ñ alterar'!$B488</f>
        <v/>
      </c>
      <c r="K488" s="6" t="str">
        <f t="shared" si="2"/>
        <v/>
      </c>
      <c r="L488" s="6" t="str">
        <f t="shared" si="8"/>
        <v/>
      </c>
      <c r="M488" s="6" t="str">
        <f t="shared" si="9"/>
        <v/>
      </c>
      <c r="N488" s="6" t="str">
        <f t="shared" si="5"/>
        <v>OCULTAR</v>
      </c>
    </row>
    <row r="489" ht="15.75" customHeight="1">
      <c r="A489" s="1"/>
      <c r="B489" s="8" t="str">
        <f>Calendario!$B489</f>
        <v/>
      </c>
      <c r="C489" s="8" t="str">
        <f>Calendario!$C489</f>
        <v/>
      </c>
      <c r="D489" s="8" t="str">
        <f>Calendario!$D489</f>
        <v/>
      </c>
      <c r="E489" s="8" t="str">
        <f>Calendario!$E489</f>
        <v/>
      </c>
      <c r="F489" s="8" t="str">
        <f>Calendario!$F489</f>
        <v/>
      </c>
      <c r="G489" s="5"/>
      <c r="H489" s="6" t="str">
        <f t="shared" si="7"/>
        <v>0</v>
      </c>
      <c r="I489" s="6"/>
      <c r="J489" s="10" t="str">
        <f>'traspo ñ alterar'!$B489</f>
        <v/>
      </c>
      <c r="K489" s="6" t="str">
        <f t="shared" si="2"/>
        <v/>
      </c>
      <c r="L489" s="6" t="str">
        <f t="shared" si="8"/>
        <v/>
      </c>
      <c r="M489" s="6" t="str">
        <f t="shared" si="9"/>
        <v/>
      </c>
      <c r="N489" s="6" t="str">
        <f t="shared" si="5"/>
        <v>OCULTAR</v>
      </c>
    </row>
    <row r="490" ht="15.75" customHeight="1">
      <c r="A490" s="1"/>
      <c r="B490" s="8" t="str">
        <f>Calendario!$B490</f>
        <v/>
      </c>
      <c r="C490" s="8" t="str">
        <f>Calendario!$C490</f>
        <v/>
      </c>
      <c r="D490" s="8" t="str">
        <f>Calendario!$D490</f>
        <v/>
      </c>
      <c r="E490" s="8" t="str">
        <f>Calendario!$E490</f>
        <v/>
      </c>
      <c r="F490" s="8" t="str">
        <f>Calendario!$F490</f>
        <v/>
      </c>
      <c r="G490" s="5"/>
      <c r="H490" s="6" t="str">
        <f t="shared" si="7"/>
        <v>0</v>
      </c>
      <c r="I490" s="6"/>
      <c r="J490" s="10" t="str">
        <f>'traspo ñ alterar'!$B490</f>
        <v/>
      </c>
      <c r="K490" s="6" t="str">
        <f t="shared" si="2"/>
        <v/>
      </c>
      <c r="L490" s="6" t="str">
        <f t="shared" si="8"/>
        <v/>
      </c>
      <c r="M490" s="6" t="str">
        <f t="shared" si="9"/>
        <v/>
      </c>
      <c r="N490" s="6" t="str">
        <f t="shared" si="5"/>
        <v>OCULTAR</v>
      </c>
    </row>
    <row r="491" ht="15.75" customHeight="1">
      <c r="A491" s="1"/>
      <c r="B491" s="8" t="str">
        <f>Calendario!$B491</f>
        <v/>
      </c>
      <c r="C491" s="8" t="str">
        <f>Calendario!$C491</f>
        <v/>
      </c>
      <c r="D491" s="8" t="str">
        <f>Calendario!$D491</f>
        <v/>
      </c>
      <c r="E491" s="8" t="str">
        <f>Calendario!$E491</f>
        <v/>
      </c>
      <c r="F491" s="8" t="str">
        <f>Calendario!$F491</f>
        <v/>
      </c>
      <c r="G491" s="5"/>
      <c r="H491" s="6" t="str">
        <f t="shared" si="7"/>
        <v>0</v>
      </c>
      <c r="I491" s="6"/>
      <c r="J491" s="10" t="str">
        <f>'traspo ñ alterar'!$B491</f>
        <v/>
      </c>
      <c r="K491" s="6" t="str">
        <f t="shared" si="2"/>
        <v/>
      </c>
      <c r="L491" s="6" t="str">
        <f t="shared" si="8"/>
        <v/>
      </c>
      <c r="M491" s="6" t="str">
        <f t="shared" si="9"/>
        <v/>
      </c>
      <c r="N491" s="6" t="str">
        <f t="shared" si="5"/>
        <v>OCULTAR</v>
      </c>
    </row>
    <row r="492" ht="15.75" customHeight="1">
      <c r="A492" s="1"/>
      <c r="B492" s="8" t="str">
        <f>Calendario!$B492</f>
        <v/>
      </c>
      <c r="C492" s="8" t="str">
        <f>Calendario!$C492</f>
        <v/>
      </c>
      <c r="D492" s="8" t="str">
        <f>Calendario!$D492</f>
        <v/>
      </c>
      <c r="E492" s="8" t="str">
        <f>Calendario!$E492</f>
        <v/>
      </c>
      <c r="F492" s="8" t="str">
        <f>Calendario!$F492</f>
        <v/>
      </c>
      <c r="G492" s="5"/>
      <c r="H492" s="6" t="str">
        <f t="shared" si="7"/>
        <v>0</v>
      </c>
      <c r="I492" s="6"/>
      <c r="J492" s="10" t="str">
        <f>'traspo ñ alterar'!$B492</f>
        <v/>
      </c>
      <c r="K492" s="6" t="str">
        <f t="shared" si="2"/>
        <v/>
      </c>
      <c r="L492" s="6" t="str">
        <f t="shared" si="8"/>
        <v/>
      </c>
      <c r="M492" s="6" t="str">
        <f t="shared" si="9"/>
        <v/>
      </c>
      <c r="N492" s="6" t="str">
        <f t="shared" si="5"/>
        <v>OCULTAR</v>
      </c>
    </row>
    <row r="493" ht="15.75" customHeight="1">
      <c r="A493" s="1"/>
      <c r="B493" s="8" t="str">
        <f>Calendario!$B493</f>
        <v/>
      </c>
      <c r="C493" s="8" t="str">
        <f>Calendario!$C493</f>
        <v/>
      </c>
      <c r="D493" s="8" t="str">
        <f>Calendario!$D493</f>
        <v/>
      </c>
      <c r="E493" s="8" t="str">
        <f>Calendario!$E493</f>
        <v/>
      </c>
      <c r="F493" s="8" t="str">
        <f>Calendario!$F493</f>
        <v/>
      </c>
      <c r="G493" s="5"/>
      <c r="H493" s="6" t="str">
        <f t="shared" si="7"/>
        <v>0</v>
      </c>
      <c r="I493" s="6"/>
      <c r="J493" s="10" t="str">
        <f>'traspo ñ alterar'!$B493</f>
        <v/>
      </c>
      <c r="K493" s="6" t="str">
        <f t="shared" si="2"/>
        <v/>
      </c>
      <c r="L493" s="6" t="str">
        <f t="shared" si="8"/>
        <v/>
      </c>
      <c r="M493" s="6" t="str">
        <f t="shared" si="9"/>
        <v/>
      </c>
      <c r="N493" s="6" t="str">
        <f t="shared" si="5"/>
        <v>OCULTAR</v>
      </c>
    </row>
    <row r="494" ht="15.75" customHeight="1">
      <c r="A494" s="1"/>
      <c r="B494" s="8" t="str">
        <f>Calendario!$B494</f>
        <v/>
      </c>
      <c r="C494" s="8" t="str">
        <f>Calendario!$C494</f>
        <v/>
      </c>
      <c r="D494" s="8" t="str">
        <f>Calendario!$D494</f>
        <v/>
      </c>
      <c r="E494" s="8" t="str">
        <f>Calendario!$E494</f>
        <v/>
      </c>
      <c r="F494" s="8" t="str">
        <f>Calendario!$F494</f>
        <v/>
      </c>
      <c r="G494" s="5"/>
      <c r="H494" s="6" t="str">
        <f t="shared" si="7"/>
        <v>0</v>
      </c>
      <c r="I494" s="6"/>
      <c r="J494" s="10" t="str">
        <f>'traspo ñ alterar'!$B494</f>
        <v/>
      </c>
      <c r="K494" s="6" t="str">
        <f t="shared" si="2"/>
        <v/>
      </c>
      <c r="L494" s="6" t="str">
        <f t="shared" si="8"/>
        <v/>
      </c>
      <c r="M494" s="6" t="str">
        <f t="shared" si="9"/>
        <v/>
      </c>
      <c r="N494" s="6" t="str">
        <f t="shared" si="5"/>
        <v>OCULTAR</v>
      </c>
    </row>
    <row r="495" ht="15.75" customHeight="1">
      <c r="A495" s="1"/>
      <c r="B495" s="8" t="str">
        <f>Calendario!$B495</f>
        <v/>
      </c>
      <c r="C495" s="8" t="str">
        <f>Calendario!$C495</f>
        <v/>
      </c>
      <c r="D495" s="8" t="str">
        <f>Calendario!$D495</f>
        <v/>
      </c>
      <c r="E495" s="8" t="str">
        <f>Calendario!$E495</f>
        <v/>
      </c>
      <c r="F495" s="8" t="str">
        <f>Calendario!$F495</f>
        <v/>
      </c>
      <c r="G495" s="5"/>
      <c r="H495" s="6" t="str">
        <f t="shared" si="7"/>
        <v>0</v>
      </c>
      <c r="I495" s="6"/>
      <c r="J495" s="10" t="str">
        <f>'traspo ñ alterar'!$B495</f>
        <v/>
      </c>
      <c r="K495" s="6" t="str">
        <f t="shared" si="2"/>
        <v/>
      </c>
      <c r="L495" s="6" t="str">
        <f t="shared" si="8"/>
        <v/>
      </c>
      <c r="M495" s="6" t="str">
        <f t="shared" si="9"/>
        <v/>
      </c>
      <c r="N495" s="6" t="str">
        <f t="shared" si="5"/>
        <v>OCULTAR</v>
      </c>
    </row>
    <row r="496" ht="15.75" customHeight="1">
      <c r="A496" s="1"/>
      <c r="B496" s="8" t="str">
        <f>Calendario!$B496</f>
        <v/>
      </c>
      <c r="C496" s="8" t="str">
        <f>Calendario!$C496</f>
        <v/>
      </c>
      <c r="D496" s="8" t="str">
        <f>Calendario!$D496</f>
        <v/>
      </c>
      <c r="E496" s="8" t="str">
        <f>Calendario!$E496</f>
        <v/>
      </c>
      <c r="F496" s="8" t="str">
        <f>Calendario!$F496</f>
        <v/>
      </c>
      <c r="G496" s="5"/>
      <c r="H496" s="6" t="str">
        <f t="shared" si="7"/>
        <v>0</v>
      </c>
      <c r="I496" s="6"/>
      <c r="J496" s="10" t="str">
        <f>'traspo ñ alterar'!$B496</f>
        <v/>
      </c>
      <c r="K496" s="6" t="str">
        <f t="shared" si="2"/>
        <v/>
      </c>
      <c r="L496" s="6" t="str">
        <f t="shared" si="8"/>
        <v/>
      </c>
      <c r="M496" s="6" t="str">
        <f t="shared" si="9"/>
        <v/>
      </c>
      <c r="N496" s="6" t="str">
        <f t="shared" si="5"/>
        <v>OCULTAR</v>
      </c>
    </row>
    <row r="497" ht="15.75" customHeight="1">
      <c r="A497" s="1"/>
      <c r="B497" s="8" t="str">
        <f>Calendario!$B497</f>
        <v/>
      </c>
      <c r="C497" s="8" t="str">
        <f>Calendario!$C497</f>
        <v/>
      </c>
      <c r="D497" s="8" t="str">
        <f>Calendario!$D497</f>
        <v/>
      </c>
      <c r="E497" s="8" t="str">
        <f>Calendario!$E497</f>
        <v/>
      </c>
      <c r="F497" s="8" t="str">
        <f>Calendario!$F497</f>
        <v/>
      </c>
      <c r="G497" s="5"/>
      <c r="H497" s="6" t="str">
        <f t="shared" si="7"/>
        <v>0</v>
      </c>
      <c r="I497" s="6"/>
      <c r="J497" s="10" t="str">
        <f>'traspo ñ alterar'!$B497</f>
        <v/>
      </c>
      <c r="K497" s="6" t="str">
        <f t="shared" si="2"/>
        <v/>
      </c>
      <c r="L497" s="6" t="str">
        <f t="shared" si="8"/>
        <v/>
      </c>
      <c r="M497" s="6" t="str">
        <f t="shared" si="9"/>
        <v/>
      </c>
      <c r="N497" s="6" t="str">
        <f t="shared" si="5"/>
        <v>OCULTAR</v>
      </c>
    </row>
    <row r="498" ht="15.75" customHeight="1">
      <c r="A498" s="1"/>
      <c r="B498" s="8" t="str">
        <f>Calendario!$B498</f>
        <v/>
      </c>
      <c r="C498" s="8" t="str">
        <f>Calendario!$C498</f>
        <v/>
      </c>
      <c r="D498" s="8" t="str">
        <f>Calendario!$D498</f>
        <v/>
      </c>
      <c r="E498" s="8" t="str">
        <f>Calendario!$E498</f>
        <v/>
      </c>
      <c r="F498" s="8" t="str">
        <f>Calendario!$F498</f>
        <v/>
      </c>
      <c r="G498" s="5"/>
      <c r="H498" s="6" t="str">
        <f t="shared" si="7"/>
        <v>0</v>
      </c>
      <c r="I498" s="6"/>
      <c r="J498" s="10" t="str">
        <f>'traspo ñ alterar'!$B498</f>
        <v/>
      </c>
      <c r="K498" s="6" t="str">
        <f t="shared" si="2"/>
        <v/>
      </c>
      <c r="L498" s="6" t="str">
        <f t="shared" si="8"/>
        <v/>
      </c>
      <c r="M498" s="6" t="str">
        <f t="shared" si="9"/>
        <v/>
      </c>
      <c r="N498" s="6" t="str">
        <f t="shared" si="5"/>
        <v>OCULTAR</v>
      </c>
    </row>
    <row r="499" ht="15.75" customHeight="1">
      <c r="A499" s="1"/>
      <c r="B499" s="8" t="str">
        <f>Calendario!$B499</f>
        <v/>
      </c>
      <c r="C499" s="8" t="str">
        <f>Calendario!$C499</f>
        <v/>
      </c>
      <c r="D499" s="8" t="str">
        <f>Calendario!$D499</f>
        <v/>
      </c>
      <c r="E499" s="8" t="str">
        <f>Calendario!$E499</f>
        <v/>
      </c>
      <c r="F499" s="8" t="str">
        <f>Calendario!$F499</f>
        <v/>
      </c>
      <c r="G499" s="5"/>
      <c r="H499" s="6" t="str">
        <f t="shared" si="7"/>
        <v>0</v>
      </c>
      <c r="I499" s="6"/>
      <c r="J499" s="10" t="str">
        <f>'traspo ñ alterar'!$B499</f>
        <v/>
      </c>
      <c r="K499" s="6" t="str">
        <f t="shared" si="2"/>
        <v/>
      </c>
      <c r="L499" s="6" t="str">
        <f t="shared" si="8"/>
        <v/>
      </c>
      <c r="M499" s="6" t="str">
        <f t="shared" si="9"/>
        <v/>
      </c>
      <c r="N499" s="6" t="str">
        <f t="shared" si="5"/>
        <v>OCULTAR</v>
      </c>
    </row>
    <row r="500" ht="15.75" customHeight="1">
      <c r="A500" s="1"/>
      <c r="B500" s="8" t="str">
        <f>Calendario!$B500</f>
        <v/>
      </c>
      <c r="C500" s="8" t="str">
        <f>Calendario!$C500</f>
        <v/>
      </c>
      <c r="D500" s="8" t="str">
        <f>Calendario!$D500</f>
        <v/>
      </c>
      <c r="E500" s="8" t="str">
        <f>Calendario!$E500</f>
        <v/>
      </c>
      <c r="F500" s="8" t="str">
        <f>Calendario!$F500</f>
        <v/>
      </c>
      <c r="G500" s="5"/>
      <c r="H500" s="6" t="str">
        <f t="shared" si="7"/>
        <v>0</v>
      </c>
      <c r="I500" s="6"/>
      <c r="J500" s="10" t="str">
        <f>'traspo ñ alterar'!$B500</f>
        <v/>
      </c>
      <c r="K500" s="6" t="str">
        <f t="shared" si="2"/>
        <v/>
      </c>
      <c r="L500" s="6" t="str">
        <f t="shared" si="8"/>
        <v/>
      </c>
      <c r="M500" s="6" t="str">
        <f t="shared" si="9"/>
        <v/>
      </c>
      <c r="N500" s="6" t="str">
        <f t="shared" si="5"/>
        <v>OCULTAR</v>
      </c>
    </row>
  </sheetData>
  <dataValidations>
    <dataValidation type="date" allowBlank="1" showInputMessage="1" prompt="01/01/2026 até 31/12/2026" sqref="B2:B249 B250:F500">
      <formula1>45992.0</formula1>
      <formula2>46417.0</formula2>
    </dataValidation>
    <dataValidation type="list" allowBlank="1" showInputMessage="1" prompt="Precione a seta para baixo - Selecione quantos forem necesário" sqref="E2:E249">
      <formula1>#REF!</formula1>
    </dataValidation>
  </dataValidations>
  <printOptions/>
  <pageMargins bottom="0.7874015748031497" footer="0.0" header="0.0" left="0.5118110236220472" right="0.5118110236220472" top="0.7874015748031497"/>
  <pageSetup fitToHeight="0"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44"/>
    <col customWidth="1" min="2" max="2" width="6.22"/>
    <col customWidth="1" min="3" max="3" width="14.56"/>
    <col customWidth="1" min="4" max="4" width="38.67"/>
    <col customWidth="1" min="5" max="5" width="26.22"/>
    <col customWidth="1" min="6" max="6" width="20.33"/>
    <col customWidth="1" min="7" max="7" width="8.0"/>
    <col customWidth="1" min="8" max="8" width="72.89"/>
    <col customWidth="1" min="9" max="11" width="8.0"/>
  </cols>
  <sheetData>
    <row r="1">
      <c r="A1" s="1"/>
      <c r="B1" s="1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1"/>
      <c r="H1" s="1"/>
      <c r="I1" s="1"/>
      <c r="J1" s="1"/>
      <c r="K1" s="1"/>
    </row>
    <row r="2">
      <c r="A2" s="1"/>
      <c r="B2" s="8">
        <v>46022.0</v>
      </c>
      <c r="C2" s="3" t="str">
        <f t="shared" ref="C2:C545" si="1">IF(B2="","",TEXT(B2,"dddd"))</f>
        <v>Wednesday</v>
      </c>
      <c r="D2" s="9" t="s">
        <v>13</v>
      </c>
      <c r="E2" s="5"/>
      <c r="F2" s="5"/>
      <c r="G2" s="1"/>
      <c r="H2" s="13" t="s">
        <v>14</v>
      </c>
      <c r="I2" s="1"/>
      <c r="J2" s="1"/>
      <c r="K2" s="1"/>
    </row>
    <row r="3">
      <c r="A3" s="1"/>
      <c r="B3" s="8">
        <v>46024.0</v>
      </c>
      <c r="C3" s="3" t="str">
        <f t="shared" si="1"/>
        <v>Friday</v>
      </c>
      <c r="D3" s="9" t="s">
        <v>15</v>
      </c>
      <c r="E3" s="5" t="s">
        <v>16</v>
      </c>
      <c r="F3" s="5" t="s">
        <v>17</v>
      </c>
      <c r="G3" s="1"/>
      <c r="H3" s="13" t="s">
        <v>18</v>
      </c>
      <c r="I3" s="1"/>
      <c r="J3" s="1"/>
      <c r="K3" s="1"/>
    </row>
    <row r="4">
      <c r="A4" s="1"/>
      <c r="B4" s="8">
        <v>46025.0</v>
      </c>
      <c r="C4" s="3" t="str">
        <f t="shared" si="1"/>
        <v>Saturday</v>
      </c>
      <c r="D4" s="9" t="s">
        <v>15</v>
      </c>
      <c r="E4" s="5" t="s">
        <v>16</v>
      </c>
      <c r="F4" s="5" t="s">
        <v>17</v>
      </c>
      <c r="G4" s="1"/>
      <c r="H4" s="1"/>
      <c r="I4" s="1"/>
      <c r="J4" s="1"/>
      <c r="K4" s="1"/>
    </row>
    <row r="5">
      <c r="A5" s="1"/>
      <c r="B5" s="8">
        <v>46026.0</v>
      </c>
      <c r="C5" s="3" t="str">
        <f t="shared" si="1"/>
        <v>Sunday</v>
      </c>
      <c r="D5" s="9" t="s">
        <v>15</v>
      </c>
      <c r="E5" s="5" t="s">
        <v>16</v>
      </c>
      <c r="F5" s="5" t="s">
        <v>17</v>
      </c>
      <c r="G5" s="1"/>
      <c r="H5" s="1"/>
      <c r="I5" s="1"/>
      <c r="J5" s="1"/>
      <c r="K5" s="1"/>
    </row>
    <row r="6">
      <c r="A6" s="1"/>
      <c r="B6" s="8">
        <v>46027.0</v>
      </c>
      <c r="C6" s="3" t="str">
        <f t="shared" si="1"/>
        <v>Monday</v>
      </c>
      <c r="D6" s="9" t="s">
        <v>15</v>
      </c>
      <c r="E6" s="5" t="s">
        <v>16</v>
      </c>
      <c r="F6" s="5" t="s">
        <v>17</v>
      </c>
      <c r="G6" s="1"/>
      <c r="H6" s="1"/>
      <c r="I6" s="1"/>
      <c r="J6" s="1"/>
      <c r="K6" s="1"/>
    </row>
    <row r="7">
      <c r="A7" s="1"/>
      <c r="B7" s="8">
        <v>46028.0</v>
      </c>
      <c r="C7" s="3" t="str">
        <f t="shared" si="1"/>
        <v>Tuesday</v>
      </c>
      <c r="D7" s="9" t="s">
        <v>15</v>
      </c>
      <c r="E7" s="5" t="s">
        <v>16</v>
      </c>
      <c r="F7" s="5" t="s">
        <v>17</v>
      </c>
      <c r="G7" s="1"/>
      <c r="H7" s="1"/>
      <c r="I7" s="1"/>
      <c r="J7" s="1"/>
      <c r="K7" s="1"/>
    </row>
    <row r="8">
      <c r="A8" s="1"/>
      <c r="B8" s="8">
        <v>46029.0</v>
      </c>
      <c r="C8" s="3" t="str">
        <f t="shared" si="1"/>
        <v>Wednesday</v>
      </c>
      <c r="D8" s="9" t="s">
        <v>15</v>
      </c>
      <c r="E8" s="5" t="s">
        <v>16</v>
      </c>
      <c r="F8" s="5" t="s">
        <v>17</v>
      </c>
      <c r="G8" s="1"/>
      <c r="H8" s="1"/>
      <c r="I8" s="1"/>
      <c r="J8" s="1"/>
      <c r="K8" s="1"/>
    </row>
    <row r="9">
      <c r="A9" s="1"/>
      <c r="B9" s="8">
        <v>46030.0</v>
      </c>
      <c r="C9" s="3" t="str">
        <f t="shared" si="1"/>
        <v>Thursday</v>
      </c>
      <c r="D9" s="9" t="s">
        <v>15</v>
      </c>
      <c r="E9" s="5" t="s">
        <v>16</v>
      </c>
      <c r="F9" s="5" t="s">
        <v>17</v>
      </c>
      <c r="G9" s="1"/>
      <c r="H9" s="1"/>
      <c r="I9" s="1"/>
      <c r="J9" s="1"/>
      <c r="K9" s="1"/>
    </row>
    <row r="10">
      <c r="A10" s="1"/>
      <c r="B10" s="8">
        <v>46031.0</v>
      </c>
      <c r="C10" s="3" t="str">
        <f t="shared" si="1"/>
        <v>Friday</v>
      </c>
      <c r="D10" s="9" t="s">
        <v>15</v>
      </c>
      <c r="E10" s="5" t="s">
        <v>16</v>
      </c>
      <c r="F10" s="5" t="s">
        <v>17</v>
      </c>
      <c r="G10" s="1"/>
      <c r="H10" s="1"/>
      <c r="I10" s="1"/>
      <c r="J10" s="1"/>
      <c r="K10" s="1"/>
    </row>
    <row r="11">
      <c r="A11" s="1"/>
      <c r="B11" s="8">
        <v>46032.0</v>
      </c>
      <c r="C11" s="3" t="str">
        <f t="shared" si="1"/>
        <v>Saturday</v>
      </c>
      <c r="D11" s="9" t="s">
        <v>15</v>
      </c>
      <c r="E11" s="5" t="s">
        <v>16</v>
      </c>
      <c r="F11" s="5" t="s">
        <v>17</v>
      </c>
      <c r="G11" s="1"/>
      <c r="H11" s="1"/>
      <c r="I11" s="1"/>
      <c r="J11" s="1"/>
      <c r="K11" s="1"/>
    </row>
    <row r="12">
      <c r="A12" s="1"/>
      <c r="B12" s="8">
        <v>46033.0</v>
      </c>
      <c r="C12" s="3" t="str">
        <f t="shared" si="1"/>
        <v>Sunday</v>
      </c>
      <c r="D12" s="9" t="s">
        <v>15</v>
      </c>
      <c r="E12" s="5" t="s">
        <v>16</v>
      </c>
      <c r="F12" s="5" t="s">
        <v>17</v>
      </c>
      <c r="G12" s="1"/>
      <c r="H12" s="1"/>
      <c r="I12" s="1"/>
      <c r="J12" s="1"/>
      <c r="K12" s="1"/>
    </row>
    <row r="13">
      <c r="A13" s="1"/>
      <c r="B13" s="8">
        <v>46034.0</v>
      </c>
      <c r="C13" s="3" t="str">
        <f t="shared" si="1"/>
        <v>Monday</v>
      </c>
      <c r="D13" s="9" t="s">
        <v>15</v>
      </c>
      <c r="E13" s="5" t="s">
        <v>16</v>
      </c>
      <c r="F13" s="5" t="s">
        <v>17</v>
      </c>
      <c r="G13" s="1"/>
      <c r="H13" s="1"/>
      <c r="I13" s="1"/>
      <c r="J13" s="1"/>
      <c r="K13" s="1"/>
    </row>
    <row r="14">
      <c r="A14" s="1"/>
      <c r="B14" s="8">
        <v>46035.0</v>
      </c>
      <c r="C14" s="3" t="str">
        <f t="shared" si="1"/>
        <v>Tuesday</v>
      </c>
      <c r="D14" s="9" t="s">
        <v>15</v>
      </c>
      <c r="E14" s="5" t="s">
        <v>16</v>
      </c>
      <c r="F14" s="5" t="s">
        <v>17</v>
      </c>
      <c r="G14" s="1"/>
      <c r="H14" s="1"/>
      <c r="I14" s="1"/>
      <c r="J14" s="1"/>
      <c r="K14" s="1"/>
    </row>
    <row r="15">
      <c r="A15" s="1"/>
      <c r="B15" s="8">
        <v>46039.0</v>
      </c>
      <c r="C15" s="3" t="str">
        <f t="shared" si="1"/>
        <v>Saturday</v>
      </c>
      <c r="D15" s="9" t="s">
        <v>19</v>
      </c>
      <c r="E15" s="5" t="s">
        <v>20</v>
      </c>
      <c r="F15" s="5" t="s">
        <v>21</v>
      </c>
      <c r="G15" s="1"/>
      <c r="H15" s="1"/>
      <c r="I15" s="1"/>
      <c r="J15" s="1"/>
      <c r="K15" s="1"/>
    </row>
    <row r="16">
      <c r="A16" s="1"/>
      <c r="B16" s="8">
        <v>46040.0</v>
      </c>
      <c r="C16" s="3" t="str">
        <f t="shared" si="1"/>
        <v>Sunday</v>
      </c>
      <c r="D16" s="9" t="s">
        <v>19</v>
      </c>
      <c r="E16" s="5" t="s">
        <v>20</v>
      </c>
      <c r="F16" s="5" t="s">
        <v>21</v>
      </c>
      <c r="G16" s="1"/>
      <c r="H16" s="1"/>
      <c r="I16" s="1"/>
      <c r="J16" s="1"/>
      <c r="K16" s="1"/>
    </row>
    <row r="17">
      <c r="A17" s="1"/>
      <c r="B17" s="8">
        <v>46044.0</v>
      </c>
      <c r="C17" s="3" t="str">
        <f t="shared" si="1"/>
        <v>Thursday</v>
      </c>
      <c r="D17" s="9" t="s">
        <v>22</v>
      </c>
      <c r="E17" s="5" t="s">
        <v>23</v>
      </c>
      <c r="F17" s="5" t="s">
        <v>24</v>
      </c>
      <c r="G17" s="1"/>
      <c r="H17" s="1"/>
      <c r="I17" s="1"/>
      <c r="J17" s="1"/>
      <c r="K17" s="1"/>
    </row>
    <row r="18">
      <c r="A18" s="1"/>
      <c r="B18" s="8">
        <v>46047.0</v>
      </c>
      <c r="C18" s="3" t="str">
        <f t="shared" si="1"/>
        <v>Sunday</v>
      </c>
      <c r="D18" s="9" t="s">
        <v>25</v>
      </c>
      <c r="E18" s="5"/>
      <c r="F18" s="5"/>
      <c r="G18" s="1"/>
      <c r="H18" s="1"/>
      <c r="I18" s="1"/>
      <c r="J18" s="1"/>
      <c r="K18" s="1"/>
    </row>
    <row r="19">
      <c r="A19" s="1"/>
      <c r="B19" s="8">
        <v>46051.0</v>
      </c>
      <c r="C19" s="3" t="str">
        <f t="shared" si="1"/>
        <v>Thursday</v>
      </c>
      <c r="D19" s="9" t="s">
        <v>26</v>
      </c>
      <c r="E19" s="5" t="s">
        <v>27</v>
      </c>
      <c r="F19" s="5" t="s">
        <v>24</v>
      </c>
      <c r="G19" s="1"/>
      <c r="H19" s="1"/>
      <c r="I19" s="1"/>
      <c r="J19" s="1"/>
      <c r="K19" s="1"/>
    </row>
    <row r="20">
      <c r="A20" s="1"/>
      <c r="B20" s="8">
        <v>46054.0</v>
      </c>
      <c r="C20" s="3" t="str">
        <f t="shared" si="1"/>
        <v>Sunday</v>
      </c>
      <c r="D20" s="9" t="s">
        <v>28</v>
      </c>
      <c r="E20" s="5" t="s">
        <v>16</v>
      </c>
      <c r="F20" s="5" t="s">
        <v>29</v>
      </c>
      <c r="G20" s="1"/>
      <c r="H20" s="1"/>
      <c r="I20" s="1"/>
      <c r="J20" s="1"/>
      <c r="K20" s="1"/>
    </row>
    <row r="21" ht="15.75" customHeight="1">
      <c r="A21" s="1"/>
      <c r="B21" s="8">
        <v>46054.0</v>
      </c>
      <c r="C21" s="3" t="str">
        <f t="shared" si="1"/>
        <v>Sunday</v>
      </c>
      <c r="D21" s="9" t="s">
        <v>30</v>
      </c>
      <c r="E21" s="5" t="s">
        <v>23</v>
      </c>
      <c r="F21" s="5" t="s">
        <v>23</v>
      </c>
      <c r="G21" s="1"/>
      <c r="H21" s="1"/>
      <c r="I21" s="1"/>
      <c r="J21" s="1"/>
      <c r="K21" s="1"/>
    </row>
    <row r="22" ht="15.75" customHeight="1">
      <c r="A22" s="1"/>
      <c r="B22" s="8">
        <v>46054.0</v>
      </c>
      <c r="C22" s="3" t="str">
        <f t="shared" si="1"/>
        <v>Sunday</v>
      </c>
      <c r="D22" s="4" t="s">
        <v>31</v>
      </c>
      <c r="E22" s="5"/>
      <c r="F22" s="5"/>
      <c r="G22" s="1"/>
      <c r="H22" s="1"/>
      <c r="I22" s="1"/>
      <c r="J22" s="1"/>
      <c r="K22" s="1"/>
    </row>
    <row r="23" ht="15.75" customHeight="1">
      <c r="A23" s="1"/>
      <c r="B23" s="8">
        <v>46056.0</v>
      </c>
      <c r="C23" s="3" t="str">
        <f t="shared" si="1"/>
        <v>Tuesday</v>
      </c>
      <c r="D23" s="9" t="s">
        <v>32</v>
      </c>
      <c r="E23" s="5" t="s">
        <v>16</v>
      </c>
      <c r="F23" s="5" t="s">
        <v>17</v>
      </c>
      <c r="G23" s="1"/>
      <c r="H23" s="1"/>
      <c r="I23" s="1"/>
      <c r="J23" s="1"/>
      <c r="K23" s="1"/>
    </row>
    <row r="24" ht="15.75" customHeight="1">
      <c r="A24" s="1"/>
      <c r="B24" s="8">
        <v>46057.0</v>
      </c>
      <c r="C24" s="3" t="str">
        <f t="shared" si="1"/>
        <v>Wednesday</v>
      </c>
      <c r="D24" s="4" t="s">
        <v>33</v>
      </c>
      <c r="E24" s="5"/>
      <c r="F24" s="5"/>
      <c r="G24" s="1"/>
      <c r="H24" s="1"/>
      <c r="I24" s="1"/>
      <c r="J24" s="1"/>
      <c r="K24" s="1"/>
    </row>
    <row r="25" ht="15.75" customHeight="1">
      <c r="A25" s="1"/>
      <c r="B25" s="8">
        <v>46058.0</v>
      </c>
      <c r="C25" s="3" t="str">
        <f t="shared" si="1"/>
        <v>Thursday</v>
      </c>
      <c r="D25" s="9" t="s">
        <v>34</v>
      </c>
      <c r="E25" s="5"/>
      <c r="F25" s="5" t="s">
        <v>35</v>
      </c>
      <c r="G25" s="1"/>
      <c r="H25" s="1"/>
      <c r="I25" s="1"/>
      <c r="J25" s="1"/>
      <c r="K25" s="1"/>
    </row>
    <row r="26" ht="15.75" customHeight="1">
      <c r="A26" s="1"/>
      <c r="B26" s="8">
        <v>46059.0</v>
      </c>
      <c r="C26" s="3" t="str">
        <f t="shared" si="1"/>
        <v>Friday</v>
      </c>
      <c r="D26" s="9" t="s">
        <v>36</v>
      </c>
      <c r="E26" s="5" t="s">
        <v>16</v>
      </c>
      <c r="F26" s="5" t="s">
        <v>37</v>
      </c>
      <c r="G26" s="1"/>
      <c r="H26" s="1"/>
      <c r="I26" s="1"/>
      <c r="J26" s="1"/>
      <c r="K26" s="1"/>
    </row>
    <row r="27" ht="15.75" customHeight="1">
      <c r="A27" s="1"/>
      <c r="B27" s="8">
        <v>46059.0</v>
      </c>
      <c r="C27" s="3" t="str">
        <f t="shared" si="1"/>
        <v>Friday</v>
      </c>
      <c r="D27" s="9" t="s">
        <v>38</v>
      </c>
      <c r="E27" s="5" t="s">
        <v>39</v>
      </c>
      <c r="F27" s="5" t="s">
        <v>21</v>
      </c>
      <c r="G27" s="1"/>
      <c r="H27" s="1"/>
      <c r="I27" s="1"/>
      <c r="J27" s="1"/>
      <c r="K27" s="1"/>
    </row>
    <row r="28" ht="15.75" customHeight="1">
      <c r="A28" s="1"/>
      <c r="B28" s="8">
        <v>46060.0</v>
      </c>
      <c r="C28" s="3" t="str">
        <f t="shared" si="1"/>
        <v>Saturday</v>
      </c>
      <c r="D28" s="9" t="s">
        <v>40</v>
      </c>
      <c r="E28" s="5" t="s">
        <v>16</v>
      </c>
      <c r="F28" s="5" t="s">
        <v>29</v>
      </c>
      <c r="G28" s="1"/>
      <c r="H28" s="1"/>
      <c r="I28" s="1"/>
      <c r="J28" s="1"/>
      <c r="K28" s="1"/>
    </row>
    <row r="29" ht="15.75" customHeight="1">
      <c r="A29" s="1"/>
      <c r="B29" s="8">
        <v>46060.0</v>
      </c>
      <c r="C29" s="3" t="str">
        <f t="shared" si="1"/>
        <v>Saturday</v>
      </c>
      <c r="D29" s="9" t="s">
        <v>41</v>
      </c>
      <c r="E29" s="5"/>
      <c r="F29" s="5" t="s">
        <v>37</v>
      </c>
      <c r="G29" s="1"/>
      <c r="H29" s="1"/>
      <c r="I29" s="1"/>
      <c r="J29" s="1"/>
      <c r="K29" s="1"/>
    </row>
    <row r="30" ht="15.75" customHeight="1">
      <c r="A30" s="1"/>
      <c r="B30" s="8">
        <v>46061.0</v>
      </c>
      <c r="C30" s="3" t="str">
        <f t="shared" si="1"/>
        <v>Sunday</v>
      </c>
      <c r="D30" s="9" t="s">
        <v>42</v>
      </c>
      <c r="E30" s="5" t="s">
        <v>16</v>
      </c>
      <c r="F30" s="5" t="s">
        <v>43</v>
      </c>
      <c r="G30" s="1"/>
      <c r="H30" s="1"/>
      <c r="I30" s="1"/>
      <c r="J30" s="1"/>
      <c r="K30" s="1"/>
    </row>
    <row r="31" ht="15.75" customHeight="1">
      <c r="A31" s="1"/>
      <c r="B31" s="8">
        <v>46061.0</v>
      </c>
      <c r="C31" s="3" t="str">
        <f t="shared" si="1"/>
        <v>Sunday</v>
      </c>
      <c r="D31" s="9" t="s">
        <v>44</v>
      </c>
      <c r="E31" s="5" t="s">
        <v>20</v>
      </c>
      <c r="F31" s="5" t="s">
        <v>21</v>
      </c>
      <c r="G31" s="1"/>
      <c r="H31" s="1"/>
      <c r="I31" s="1"/>
      <c r="J31" s="1"/>
      <c r="K31" s="1"/>
    </row>
    <row r="32" ht="15.75" customHeight="1">
      <c r="A32" s="1"/>
      <c r="B32" s="8">
        <v>46064.0</v>
      </c>
      <c r="C32" s="3" t="str">
        <f t="shared" si="1"/>
        <v>Wednesday</v>
      </c>
      <c r="D32" s="4" t="s">
        <v>33</v>
      </c>
      <c r="E32" s="5"/>
      <c r="F32" s="5"/>
      <c r="G32" s="1"/>
      <c r="H32" s="1"/>
      <c r="I32" s="1"/>
      <c r="J32" s="1"/>
      <c r="K32" s="1"/>
    </row>
    <row r="33" ht="15.75" customHeight="1">
      <c r="A33" s="1"/>
      <c r="B33" s="8">
        <v>46067.0</v>
      </c>
      <c r="C33" s="3" t="str">
        <f t="shared" si="1"/>
        <v>Saturday</v>
      </c>
      <c r="D33" s="9" t="s">
        <v>45</v>
      </c>
      <c r="E33" s="5" t="s">
        <v>20</v>
      </c>
      <c r="F33" s="5" t="s">
        <v>46</v>
      </c>
      <c r="G33" s="1"/>
      <c r="H33" s="1"/>
      <c r="I33" s="1"/>
      <c r="J33" s="1"/>
      <c r="K33" s="1"/>
    </row>
    <row r="34" ht="15.75" customHeight="1">
      <c r="A34" s="1"/>
      <c r="B34" s="8">
        <v>46068.0</v>
      </c>
      <c r="C34" s="3" t="str">
        <f t="shared" si="1"/>
        <v>Sunday</v>
      </c>
      <c r="D34" s="9" t="s">
        <v>45</v>
      </c>
      <c r="E34" s="5" t="s">
        <v>20</v>
      </c>
      <c r="F34" s="5" t="s">
        <v>46</v>
      </c>
      <c r="G34" s="1"/>
      <c r="H34" s="1"/>
      <c r="I34" s="1"/>
      <c r="J34" s="1"/>
      <c r="K34" s="1"/>
    </row>
    <row r="35" ht="15.75" customHeight="1">
      <c r="A35" s="1"/>
      <c r="B35" s="8">
        <v>46071.0</v>
      </c>
      <c r="C35" s="3" t="str">
        <f t="shared" si="1"/>
        <v>Wednesday</v>
      </c>
      <c r="D35" s="4" t="s">
        <v>33</v>
      </c>
      <c r="E35" s="5"/>
      <c r="F35" s="5"/>
      <c r="G35" s="1"/>
      <c r="H35" s="1"/>
      <c r="I35" s="1"/>
      <c r="J35" s="1"/>
      <c r="K35" s="1"/>
    </row>
    <row r="36" ht="15.75" customHeight="1">
      <c r="A36" s="1"/>
      <c r="B36" s="8">
        <v>46073.0</v>
      </c>
      <c r="C36" s="3" t="str">
        <f t="shared" si="1"/>
        <v>Friday</v>
      </c>
      <c r="D36" s="9" t="s">
        <v>38</v>
      </c>
      <c r="E36" s="5" t="s">
        <v>39</v>
      </c>
      <c r="F36" s="5" t="s">
        <v>21</v>
      </c>
      <c r="G36" s="1"/>
      <c r="H36" s="1"/>
      <c r="I36" s="1"/>
      <c r="J36" s="1"/>
      <c r="K36" s="1"/>
    </row>
    <row r="37" ht="15.75" customHeight="1">
      <c r="A37" s="1"/>
      <c r="B37" s="8">
        <v>46074.0</v>
      </c>
      <c r="C37" s="3" t="str">
        <f t="shared" si="1"/>
        <v>Saturday</v>
      </c>
      <c r="D37" s="9" t="s">
        <v>47</v>
      </c>
      <c r="E37" s="5" t="s">
        <v>16</v>
      </c>
      <c r="F37" s="5" t="s">
        <v>21</v>
      </c>
      <c r="G37" s="1"/>
      <c r="H37" s="1"/>
      <c r="I37" s="1"/>
      <c r="J37" s="1"/>
      <c r="K37" s="1"/>
    </row>
    <row r="38" ht="15.75" customHeight="1">
      <c r="A38" s="1"/>
      <c r="B38" s="8">
        <v>46075.0</v>
      </c>
      <c r="C38" s="3" t="str">
        <f t="shared" si="1"/>
        <v>Sunday</v>
      </c>
      <c r="D38" s="9" t="s">
        <v>48</v>
      </c>
      <c r="E38" s="5" t="s">
        <v>20</v>
      </c>
      <c r="F38" s="5" t="s">
        <v>29</v>
      </c>
      <c r="G38" s="1"/>
      <c r="H38" s="1"/>
      <c r="I38" s="1"/>
      <c r="J38" s="1"/>
      <c r="K38" s="1"/>
    </row>
    <row r="39" ht="15.75" customHeight="1">
      <c r="A39" s="1"/>
      <c r="B39" s="8">
        <v>46075.0</v>
      </c>
      <c r="C39" s="3" t="str">
        <f t="shared" si="1"/>
        <v>Sunday</v>
      </c>
      <c r="D39" s="9" t="s">
        <v>25</v>
      </c>
      <c r="E39" s="5"/>
      <c r="F39" s="5" t="s">
        <v>43</v>
      </c>
      <c r="G39" s="1"/>
      <c r="H39" s="1"/>
      <c r="I39" s="1"/>
      <c r="J39" s="1"/>
      <c r="K39" s="1"/>
    </row>
    <row r="40" ht="15.75" customHeight="1">
      <c r="A40" s="1"/>
      <c r="B40" s="8">
        <v>46078.0</v>
      </c>
      <c r="C40" s="3" t="str">
        <f t="shared" si="1"/>
        <v>Wednesday</v>
      </c>
      <c r="D40" s="4" t="s">
        <v>33</v>
      </c>
      <c r="E40" s="5"/>
      <c r="F40" s="5"/>
      <c r="G40" s="1"/>
      <c r="H40" s="1"/>
      <c r="I40" s="1"/>
      <c r="J40" s="1"/>
      <c r="K40" s="1"/>
    </row>
    <row r="41" ht="15.75" customHeight="1">
      <c r="A41" s="1"/>
      <c r="B41" s="8">
        <v>46079.0</v>
      </c>
      <c r="C41" s="3" t="str">
        <f t="shared" si="1"/>
        <v>Thursday</v>
      </c>
      <c r="D41" s="9" t="s">
        <v>22</v>
      </c>
      <c r="E41" s="5" t="s">
        <v>23</v>
      </c>
      <c r="F41" s="5" t="s">
        <v>24</v>
      </c>
      <c r="G41" s="1"/>
      <c r="H41" s="1"/>
      <c r="I41" s="1"/>
      <c r="J41" s="1"/>
      <c r="K41" s="1"/>
    </row>
    <row r="42" ht="15.75" customHeight="1">
      <c r="A42" s="1"/>
      <c r="B42" s="8">
        <v>46080.0</v>
      </c>
      <c r="C42" s="3" t="str">
        <f t="shared" si="1"/>
        <v>Friday</v>
      </c>
      <c r="D42" s="9" t="s">
        <v>38</v>
      </c>
      <c r="E42" s="5" t="s">
        <v>39</v>
      </c>
      <c r="F42" s="5" t="s">
        <v>21</v>
      </c>
      <c r="G42" s="1"/>
      <c r="H42" s="1"/>
      <c r="I42" s="1"/>
      <c r="J42" s="1"/>
      <c r="K42" s="1"/>
    </row>
    <row r="43" ht="15.75" customHeight="1">
      <c r="A43" s="1"/>
      <c r="B43" s="8">
        <v>46082.0</v>
      </c>
      <c r="C43" s="3" t="str">
        <f t="shared" si="1"/>
        <v>Sunday</v>
      </c>
      <c r="D43" s="9" t="s">
        <v>49</v>
      </c>
      <c r="E43" s="5" t="s">
        <v>16</v>
      </c>
      <c r="F43" s="5" t="s">
        <v>50</v>
      </c>
      <c r="G43" s="1"/>
      <c r="H43" s="1"/>
      <c r="I43" s="1"/>
      <c r="J43" s="1"/>
      <c r="K43" s="1"/>
    </row>
    <row r="44" ht="15.75" customHeight="1">
      <c r="A44" s="1"/>
      <c r="B44" s="8">
        <v>46082.0</v>
      </c>
      <c r="C44" s="3" t="str">
        <f t="shared" si="1"/>
        <v>Sunday</v>
      </c>
      <c r="D44" s="4" t="s">
        <v>28</v>
      </c>
      <c r="E44" s="5"/>
      <c r="F44" s="5"/>
      <c r="G44" s="1"/>
      <c r="H44" s="1"/>
      <c r="I44" s="1"/>
      <c r="J44" s="1"/>
      <c r="K44" s="1"/>
    </row>
    <row r="45" ht="15.75" customHeight="1">
      <c r="A45" s="1"/>
      <c r="B45" s="8">
        <v>46085.0</v>
      </c>
      <c r="C45" s="3" t="str">
        <f t="shared" si="1"/>
        <v>Wednesday</v>
      </c>
      <c r="D45" s="4" t="s">
        <v>33</v>
      </c>
      <c r="E45" s="5"/>
      <c r="F45" s="5"/>
      <c r="G45" s="1"/>
      <c r="H45" s="1"/>
      <c r="I45" s="1"/>
      <c r="J45" s="1"/>
      <c r="K45" s="1"/>
    </row>
    <row r="46" ht="15.75" customHeight="1">
      <c r="A46" s="1"/>
      <c r="B46" s="8">
        <v>46086.0</v>
      </c>
      <c r="C46" s="3" t="str">
        <f t="shared" si="1"/>
        <v>Thursday</v>
      </c>
      <c r="D46" s="9" t="s">
        <v>26</v>
      </c>
      <c r="E46" s="5" t="s">
        <v>27</v>
      </c>
      <c r="F46" s="5" t="s">
        <v>24</v>
      </c>
      <c r="G46" s="1"/>
      <c r="H46" s="1"/>
      <c r="I46" s="1"/>
      <c r="J46" s="1"/>
      <c r="K46" s="1"/>
    </row>
    <row r="47" ht="15.75" customHeight="1">
      <c r="A47" s="1"/>
      <c r="B47" s="8">
        <v>46087.0</v>
      </c>
      <c r="C47" s="3" t="str">
        <f t="shared" si="1"/>
        <v>Friday</v>
      </c>
      <c r="D47" s="9" t="s">
        <v>36</v>
      </c>
      <c r="E47" s="5" t="s">
        <v>16</v>
      </c>
      <c r="F47" s="5" t="s">
        <v>37</v>
      </c>
      <c r="G47" s="1"/>
      <c r="H47" s="1"/>
      <c r="I47" s="1"/>
      <c r="J47" s="1"/>
      <c r="K47" s="1"/>
    </row>
    <row r="48" ht="15.75" customHeight="1">
      <c r="A48" s="1"/>
      <c r="B48" s="8">
        <v>46087.0</v>
      </c>
      <c r="C48" s="3" t="str">
        <f t="shared" si="1"/>
        <v>Friday</v>
      </c>
      <c r="D48" s="9" t="s">
        <v>38</v>
      </c>
      <c r="E48" s="5" t="s">
        <v>39</v>
      </c>
      <c r="F48" s="5" t="s">
        <v>21</v>
      </c>
      <c r="G48" s="1"/>
      <c r="H48" s="1"/>
      <c r="I48" s="1"/>
      <c r="J48" s="1"/>
      <c r="K48" s="1"/>
    </row>
    <row r="49" ht="15.75" customHeight="1">
      <c r="A49" s="1"/>
      <c r="B49" s="8">
        <v>46088.0</v>
      </c>
      <c r="C49" s="3" t="str">
        <f t="shared" si="1"/>
        <v>Saturday</v>
      </c>
      <c r="D49" s="9" t="s">
        <v>51</v>
      </c>
      <c r="E49" s="5"/>
      <c r="F49" s="5"/>
      <c r="G49" s="1"/>
      <c r="H49" s="1"/>
      <c r="I49" s="1"/>
      <c r="J49" s="1"/>
      <c r="K49" s="1"/>
    </row>
    <row r="50" ht="15.75" customHeight="1">
      <c r="A50" s="1"/>
      <c r="B50" s="8">
        <v>46088.0</v>
      </c>
      <c r="C50" s="3" t="str">
        <f t="shared" si="1"/>
        <v>Saturday</v>
      </c>
      <c r="D50" s="9" t="s">
        <v>41</v>
      </c>
      <c r="E50" s="5"/>
      <c r="F50" s="5" t="s">
        <v>37</v>
      </c>
      <c r="G50" s="1"/>
      <c r="H50" s="1"/>
      <c r="I50" s="1"/>
      <c r="J50" s="1"/>
      <c r="K50" s="1"/>
    </row>
    <row r="51" ht="15.75" customHeight="1">
      <c r="A51" s="1"/>
      <c r="B51" s="8">
        <v>46089.0</v>
      </c>
      <c r="C51" s="3" t="str">
        <f t="shared" si="1"/>
        <v>Sunday</v>
      </c>
      <c r="D51" s="9" t="s">
        <v>52</v>
      </c>
      <c r="E51" s="5" t="s">
        <v>53</v>
      </c>
      <c r="F51" s="5" t="s">
        <v>24</v>
      </c>
      <c r="G51" s="1"/>
      <c r="H51" s="1"/>
      <c r="I51" s="1"/>
      <c r="J51" s="1"/>
      <c r="K51" s="1"/>
    </row>
    <row r="52" ht="15.75" customHeight="1">
      <c r="A52" s="1"/>
      <c r="B52" s="8">
        <v>46092.0</v>
      </c>
      <c r="C52" s="3" t="str">
        <f t="shared" si="1"/>
        <v>Wednesday</v>
      </c>
      <c r="D52" s="4" t="s">
        <v>33</v>
      </c>
      <c r="E52" s="5"/>
      <c r="F52" s="5"/>
      <c r="G52" s="1"/>
      <c r="H52" s="1"/>
      <c r="I52" s="1"/>
      <c r="J52" s="1"/>
      <c r="K52" s="1"/>
    </row>
    <row r="53" ht="15.75" customHeight="1">
      <c r="A53" s="1"/>
      <c r="B53" s="14">
        <v>46093.0</v>
      </c>
      <c r="C53" s="3" t="str">
        <f t="shared" si="1"/>
        <v>Thursday</v>
      </c>
      <c r="D53" s="9" t="s">
        <v>34</v>
      </c>
      <c r="E53" s="5" t="s">
        <v>54</v>
      </c>
      <c r="F53" s="5" t="s">
        <v>35</v>
      </c>
      <c r="G53" s="1"/>
      <c r="H53" s="1"/>
      <c r="I53" s="1"/>
      <c r="J53" s="1"/>
      <c r="K53" s="1"/>
    </row>
    <row r="54" ht="15.75" customHeight="1">
      <c r="A54" s="1"/>
      <c r="B54" s="8">
        <v>46094.0</v>
      </c>
      <c r="C54" s="3" t="str">
        <f t="shared" si="1"/>
        <v>Friday</v>
      </c>
      <c r="D54" s="9" t="s">
        <v>38</v>
      </c>
      <c r="E54" s="5" t="s">
        <v>39</v>
      </c>
      <c r="F54" s="5" t="s">
        <v>21</v>
      </c>
      <c r="G54" s="1"/>
      <c r="H54" s="1"/>
      <c r="I54" s="1"/>
      <c r="J54" s="1"/>
      <c r="K54" s="1"/>
    </row>
    <row r="55" ht="15.75" customHeight="1">
      <c r="A55" s="1"/>
      <c r="B55" s="8">
        <v>46095.0</v>
      </c>
      <c r="C55" s="3" t="str">
        <f t="shared" si="1"/>
        <v>Saturday</v>
      </c>
      <c r="D55" s="9" t="s">
        <v>21</v>
      </c>
      <c r="E55" s="5" t="s">
        <v>16</v>
      </c>
      <c r="F55" s="5" t="s">
        <v>21</v>
      </c>
      <c r="G55" s="1"/>
      <c r="H55" s="1"/>
      <c r="I55" s="1"/>
      <c r="J55" s="1"/>
      <c r="K55" s="1"/>
    </row>
    <row r="56" ht="15.75" customHeight="1">
      <c r="A56" s="1"/>
      <c r="B56" s="8">
        <v>46096.0</v>
      </c>
      <c r="C56" s="3" t="str">
        <f t="shared" si="1"/>
        <v>Sunday</v>
      </c>
      <c r="D56" s="9" t="s">
        <v>44</v>
      </c>
      <c r="E56" s="5" t="s">
        <v>20</v>
      </c>
      <c r="F56" s="5" t="s">
        <v>21</v>
      </c>
      <c r="G56" s="1"/>
      <c r="H56" s="1"/>
      <c r="I56" s="1"/>
      <c r="J56" s="1"/>
      <c r="K56" s="1"/>
    </row>
    <row r="57" ht="15.75" customHeight="1">
      <c r="A57" s="1"/>
      <c r="B57" s="8">
        <v>46099.0</v>
      </c>
      <c r="C57" s="3" t="str">
        <f t="shared" si="1"/>
        <v>Wednesday</v>
      </c>
      <c r="D57" s="4" t="s">
        <v>33</v>
      </c>
      <c r="E57" s="5"/>
      <c r="F57" s="5"/>
      <c r="G57" s="1"/>
      <c r="H57" s="1"/>
      <c r="I57" s="1"/>
      <c r="J57" s="1"/>
      <c r="K57" s="1"/>
    </row>
    <row r="58" ht="15.75" customHeight="1">
      <c r="A58" s="1"/>
      <c r="B58" s="8">
        <v>46100.0</v>
      </c>
      <c r="C58" s="3" t="str">
        <f t="shared" si="1"/>
        <v>Thursday</v>
      </c>
      <c r="D58" s="9" t="s">
        <v>22</v>
      </c>
      <c r="E58" s="5" t="s">
        <v>23</v>
      </c>
      <c r="F58" s="5" t="s">
        <v>24</v>
      </c>
      <c r="G58" s="1"/>
      <c r="H58" s="1"/>
      <c r="I58" s="1"/>
      <c r="J58" s="1"/>
      <c r="K58" s="1"/>
    </row>
    <row r="59" ht="15.75" customHeight="1">
      <c r="A59" s="1"/>
      <c r="B59" s="8">
        <v>46103.0</v>
      </c>
      <c r="C59" s="3" t="str">
        <f t="shared" si="1"/>
        <v>Sunday</v>
      </c>
      <c r="D59" s="9" t="s">
        <v>25</v>
      </c>
      <c r="E59" s="5"/>
      <c r="F59" s="5" t="s">
        <v>43</v>
      </c>
      <c r="G59" s="1"/>
      <c r="H59" s="1"/>
      <c r="I59" s="1"/>
      <c r="J59" s="1"/>
      <c r="K59" s="1"/>
    </row>
    <row r="60" ht="15.75" customHeight="1">
      <c r="A60" s="1"/>
      <c r="B60" s="8">
        <v>46104.0</v>
      </c>
      <c r="C60" s="3" t="str">
        <f t="shared" si="1"/>
        <v>Monday</v>
      </c>
      <c r="D60" s="9" t="s">
        <v>55</v>
      </c>
      <c r="E60" s="5"/>
      <c r="F60" s="5" t="s">
        <v>37</v>
      </c>
      <c r="G60" s="1"/>
      <c r="H60" s="1"/>
      <c r="I60" s="1"/>
      <c r="J60" s="1"/>
      <c r="K60" s="1"/>
    </row>
    <row r="61" ht="15.75" customHeight="1">
      <c r="A61" s="1"/>
      <c r="B61" s="8">
        <v>46105.0</v>
      </c>
      <c r="C61" s="3" t="str">
        <f t="shared" si="1"/>
        <v>Tuesday</v>
      </c>
      <c r="D61" s="9" t="s">
        <v>55</v>
      </c>
      <c r="E61" s="5"/>
      <c r="F61" s="5" t="s">
        <v>37</v>
      </c>
      <c r="G61" s="1"/>
      <c r="H61" s="1"/>
      <c r="I61" s="1"/>
      <c r="J61" s="1"/>
      <c r="K61" s="1"/>
    </row>
    <row r="62" ht="15.75" customHeight="1">
      <c r="A62" s="1"/>
      <c r="B62" s="8">
        <v>46106.0</v>
      </c>
      <c r="C62" s="3" t="str">
        <f t="shared" si="1"/>
        <v>Wednesday</v>
      </c>
      <c r="D62" s="9" t="s">
        <v>55</v>
      </c>
      <c r="E62" s="5"/>
      <c r="F62" s="5" t="s">
        <v>37</v>
      </c>
      <c r="G62" s="1"/>
      <c r="H62" s="1"/>
      <c r="I62" s="1"/>
      <c r="J62" s="1"/>
      <c r="K62" s="1"/>
    </row>
    <row r="63" ht="15.75" customHeight="1">
      <c r="A63" s="1"/>
      <c r="B63" s="8">
        <v>46106.0</v>
      </c>
      <c r="C63" s="3" t="str">
        <f t="shared" si="1"/>
        <v>Wednesday</v>
      </c>
      <c r="D63" s="4" t="s">
        <v>33</v>
      </c>
      <c r="E63" s="5"/>
      <c r="F63" s="5"/>
      <c r="G63" s="1"/>
      <c r="H63" s="1"/>
      <c r="I63" s="1"/>
      <c r="J63" s="1"/>
      <c r="K63" s="1"/>
    </row>
    <row r="64" ht="15.75" customHeight="1">
      <c r="A64" s="1"/>
      <c r="B64" s="8">
        <v>46107.0</v>
      </c>
      <c r="C64" s="3" t="str">
        <f t="shared" si="1"/>
        <v>Thursday</v>
      </c>
      <c r="D64" s="9" t="s">
        <v>55</v>
      </c>
      <c r="E64" s="5"/>
      <c r="F64" s="5" t="s">
        <v>37</v>
      </c>
      <c r="G64" s="1"/>
      <c r="H64" s="1"/>
      <c r="I64" s="1"/>
      <c r="J64" s="1"/>
      <c r="K64" s="1"/>
    </row>
    <row r="65" ht="15.75" customHeight="1">
      <c r="A65" s="1"/>
      <c r="B65" s="8">
        <v>46108.0</v>
      </c>
      <c r="C65" s="3" t="str">
        <f t="shared" si="1"/>
        <v>Friday</v>
      </c>
      <c r="D65" s="9" t="s">
        <v>55</v>
      </c>
      <c r="E65" s="5" t="s">
        <v>39</v>
      </c>
      <c r="F65" s="5" t="s">
        <v>21</v>
      </c>
      <c r="G65" s="1"/>
      <c r="H65" s="1"/>
      <c r="I65" s="1"/>
      <c r="J65" s="1"/>
      <c r="K65" s="1"/>
    </row>
    <row r="66" ht="15.75" customHeight="1">
      <c r="A66" s="1"/>
      <c r="B66" s="8">
        <v>46108.0</v>
      </c>
      <c r="C66" s="3" t="str">
        <f t="shared" si="1"/>
        <v>Friday</v>
      </c>
      <c r="D66" s="9" t="s">
        <v>38</v>
      </c>
      <c r="E66" s="5" t="s">
        <v>39</v>
      </c>
      <c r="F66" s="5" t="s">
        <v>21</v>
      </c>
      <c r="G66" s="1"/>
      <c r="H66" s="1"/>
      <c r="I66" s="1"/>
      <c r="J66" s="1"/>
      <c r="K66" s="1"/>
    </row>
    <row r="67" ht="15.75" customHeight="1">
      <c r="A67" s="1"/>
      <c r="B67" s="8">
        <v>46109.0</v>
      </c>
      <c r="C67" s="3" t="str">
        <f t="shared" si="1"/>
        <v>Saturday</v>
      </c>
      <c r="D67" s="9" t="s">
        <v>56</v>
      </c>
      <c r="E67" s="5" t="s">
        <v>16</v>
      </c>
      <c r="F67" s="5" t="s">
        <v>57</v>
      </c>
      <c r="G67" s="1"/>
      <c r="H67" s="1"/>
      <c r="I67" s="1"/>
      <c r="J67" s="1"/>
      <c r="K67" s="1"/>
    </row>
    <row r="68" ht="15.75" customHeight="1">
      <c r="A68" s="1"/>
      <c r="B68" s="8">
        <v>46110.0</v>
      </c>
      <c r="C68" s="3" t="str">
        <f t="shared" si="1"/>
        <v>Sunday</v>
      </c>
      <c r="D68" s="9" t="s">
        <v>58</v>
      </c>
      <c r="E68" s="5" t="s">
        <v>16</v>
      </c>
      <c r="F68" s="5" t="s">
        <v>57</v>
      </c>
      <c r="G68" s="1"/>
      <c r="H68" s="1"/>
      <c r="I68" s="1"/>
      <c r="J68" s="1"/>
      <c r="K68" s="1"/>
    </row>
    <row r="69" ht="15.75" customHeight="1">
      <c r="A69" s="1"/>
      <c r="B69" s="8">
        <v>46113.0</v>
      </c>
      <c r="C69" s="3" t="str">
        <f t="shared" si="1"/>
        <v>Wednesday</v>
      </c>
      <c r="D69" s="4" t="s">
        <v>33</v>
      </c>
      <c r="E69" s="5"/>
      <c r="F69" s="5"/>
      <c r="G69" s="1"/>
      <c r="H69" s="1"/>
      <c r="I69" s="1"/>
      <c r="J69" s="1"/>
      <c r="K69" s="1"/>
    </row>
    <row r="70" ht="15.75" customHeight="1">
      <c r="A70" s="1"/>
      <c r="B70" s="8">
        <v>46114.0</v>
      </c>
      <c r="C70" s="3" t="str">
        <f t="shared" si="1"/>
        <v>Thursday</v>
      </c>
      <c r="D70" s="9" t="s">
        <v>26</v>
      </c>
      <c r="E70" s="5" t="s">
        <v>27</v>
      </c>
      <c r="F70" s="5" t="s">
        <v>24</v>
      </c>
      <c r="G70" s="1"/>
      <c r="H70" s="1"/>
      <c r="I70" s="1"/>
      <c r="J70" s="1"/>
      <c r="K70" s="1"/>
    </row>
    <row r="71" ht="15.75" customHeight="1">
      <c r="A71" s="1"/>
      <c r="B71" s="8">
        <v>46115.0</v>
      </c>
      <c r="C71" s="3" t="str">
        <f t="shared" si="1"/>
        <v>Friday</v>
      </c>
      <c r="D71" s="9" t="s">
        <v>36</v>
      </c>
      <c r="E71" s="5" t="s">
        <v>16</v>
      </c>
      <c r="F71" s="5" t="s">
        <v>37</v>
      </c>
      <c r="G71" s="1"/>
      <c r="H71" s="1"/>
      <c r="I71" s="1"/>
      <c r="J71" s="1"/>
      <c r="K71" s="1"/>
    </row>
    <row r="72" ht="15.75" customHeight="1">
      <c r="A72" s="1"/>
      <c r="B72" s="8">
        <v>46117.0</v>
      </c>
      <c r="C72" s="3" t="str">
        <f t="shared" si="1"/>
        <v>Sunday</v>
      </c>
      <c r="D72" s="9" t="s">
        <v>59</v>
      </c>
      <c r="E72" s="5" t="s">
        <v>16</v>
      </c>
      <c r="F72" s="5" t="s">
        <v>43</v>
      </c>
      <c r="G72" s="1"/>
      <c r="H72" s="1"/>
      <c r="I72" s="1"/>
      <c r="J72" s="1"/>
      <c r="K72" s="1"/>
    </row>
    <row r="73" ht="15.75" customHeight="1">
      <c r="A73" s="1"/>
      <c r="B73" s="14">
        <v>46117.0</v>
      </c>
      <c r="C73" s="3" t="str">
        <f t="shared" si="1"/>
        <v>Sunday</v>
      </c>
      <c r="D73" s="9" t="s">
        <v>60</v>
      </c>
      <c r="E73" s="5"/>
      <c r="F73" s="5" t="s">
        <v>35</v>
      </c>
      <c r="G73" s="1"/>
      <c r="H73" s="1"/>
      <c r="I73" s="1"/>
      <c r="J73" s="1"/>
      <c r="K73" s="1"/>
    </row>
    <row r="74" ht="15.75" customHeight="1">
      <c r="A74" s="1"/>
      <c r="B74" s="8">
        <v>46117.0</v>
      </c>
      <c r="C74" s="3" t="str">
        <f t="shared" si="1"/>
        <v>Sunday</v>
      </c>
      <c r="D74" s="4" t="s">
        <v>28</v>
      </c>
      <c r="E74" s="5"/>
      <c r="F74" s="5"/>
      <c r="G74" s="1"/>
      <c r="H74" s="1"/>
      <c r="I74" s="1"/>
      <c r="J74" s="1"/>
      <c r="K74" s="1"/>
    </row>
    <row r="75" ht="15.75" customHeight="1">
      <c r="A75" s="1"/>
      <c r="B75" s="8">
        <v>46120.0</v>
      </c>
      <c r="C75" s="3" t="str">
        <f t="shared" si="1"/>
        <v>Wednesday</v>
      </c>
      <c r="D75" s="4" t="s">
        <v>33</v>
      </c>
      <c r="E75" s="5"/>
      <c r="F75" s="5"/>
      <c r="G75" s="1"/>
      <c r="H75" s="1"/>
      <c r="I75" s="1"/>
      <c r="J75" s="1"/>
      <c r="K75" s="1"/>
    </row>
    <row r="76" ht="15.75" customHeight="1">
      <c r="A76" s="1"/>
      <c r="B76" s="14">
        <v>46121.0</v>
      </c>
      <c r="C76" s="3" t="str">
        <f t="shared" si="1"/>
        <v>Thursday</v>
      </c>
      <c r="D76" s="9" t="s">
        <v>34</v>
      </c>
      <c r="E76" s="5"/>
      <c r="F76" s="5" t="s">
        <v>35</v>
      </c>
      <c r="G76" s="1"/>
      <c r="H76" s="1"/>
      <c r="I76" s="1"/>
      <c r="J76" s="1"/>
      <c r="K76" s="1"/>
    </row>
    <row r="77" ht="15.75" customHeight="1">
      <c r="A77" s="1"/>
      <c r="B77" s="8">
        <v>46122.0</v>
      </c>
      <c r="C77" s="3" t="str">
        <f t="shared" si="1"/>
        <v>Friday</v>
      </c>
      <c r="D77" s="9" t="s">
        <v>38</v>
      </c>
      <c r="E77" s="5" t="s">
        <v>39</v>
      </c>
      <c r="F77" s="5" t="s">
        <v>21</v>
      </c>
      <c r="G77" s="1"/>
      <c r="H77" s="1"/>
      <c r="I77" s="1"/>
      <c r="J77" s="1"/>
      <c r="K77" s="1"/>
    </row>
    <row r="78" ht="15.75" customHeight="1">
      <c r="A78" s="1"/>
      <c r="B78" s="8">
        <v>46123.0</v>
      </c>
      <c r="C78" s="3" t="str">
        <f t="shared" si="1"/>
        <v>Saturday</v>
      </c>
      <c r="D78" s="9" t="s">
        <v>41</v>
      </c>
      <c r="E78" s="5"/>
      <c r="F78" s="5" t="s">
        <v>37</v>
      </c>
      <c r="G78" s="1"/>
      <c r="H78" s="1"/>
      <c r="I78" s="1"/>
      <c r="J78" s="1"/>
      <c r="K78" s="1"/>
    </row>
    <row r="79" ht="15.75" customHeight="1">
      <c r="A79" s="1"/>
      <c r="B79" s="8">
        <v>46123.0</v>
      </c>
      <c r="C79" s="3" t="str">
        <f t="shared" si="1"/>
        <v>Saturday</v>
      </c>
      <c r="D79" s="9" t="s">
        <v>21</v>
      </c>
      <c r="E79" s="5" t="s">
        <v>16</v>
      </c>
      <c r="F79" s="5" t="s">
        <v>21</v>
      </c>
      <c r="G79" s="1"/>
      <c r="H79" s="1"/>
      <c r="I79" s="1"/>
      <c r="J79" s="1"/>
      <c r="K79" s="1"/>
    </row>
    <row r="80" ht="15.75" customHeight="1">
      <c r="A80" s="1"/>
      <c r="B80" s="8">
        <v>46124.0</v>
      </c>
      <c r="C80" s="3" t="str">
        <f t="shared" si="1"/>
        <v>Sunday</v>
      </c>
      <c r="D80" s="9" t="s">
        <v>61</v>
      </c>
      <c r="E80" s="5" t="s">
        <v>16</v>
      </c>
      <c r="F80" s="5" t="s">
        <v>62</v>
      </c>
      <c r="G80" s="1"/>
      <c r="H80" s="1"/>
      <c r="I80" s="1"/>
      <c r="J80" s="1"/>
      <c r="K80" s="1"/>
    </row>
    <row r="81" ht="15.75" customHeight="1">
      <c r="A81" s="1"/>
      <c r="B81" s="8">
        <v>46124.0</v>
      </c>
      <c r="C81" s="3" t="str">
        <f t="shared" si="1"/>
        <v>Sunday</v>
      </c>
      <c r="D81" s="9" t="s">
        <v>44</v>
      </c>
      <c r="E81" s="5" t="s">
        <v>20</v>
      </c>
      <c r="F81" s="5" t="s">
        <v>21</v>
      </c>
      <c r="G81" s="1"/>
      <c r="H81" s="1"/>
      <c r="I81" s="1"/>
      <c r="J81" s="1"/>
      <c r="K81" s="1"/>
    </row>
    <row r="82" ht="15.75" customHeight="1">
      <c r="A82" s="1"/>
      <c r="B82" s="8">
        <v>46127.0</v>
      </c>
      <c r="C82" s="3" t="str">
        <f t="shared" si="1"/>
        <v>Wednesday</v>
      </c>
      <c r="D82" s="4" t="s">
        <v>33</v>
      </c>
      <c r="E82" s="5"/>
      <c r="F82" s="5"/>
      <c r="G82" s="1"/>
      <c r="H82" s="1"/>
      <c r="I82" s="1"/>
      <c r="J82" s="1"/>
      <c r="K82" s="1"/>
    </row>
    <row r="83" ht="15.75" customHeight="1">
      <c r="A83" s="1"/>
      <c r="B83" s="8">
        <v>46128.0</v>
      </c>
      <c r="C83" s="3" t="str">
        <f t="shared" si="1"/>
        <v>Thursday</v>
      </c>
      <c r="D83" s="9" t="s">
        <v>22</v>
      </c>
      <c r="E83" s="5" t="s">
        <v>23</v>
      </c>
      <c r="F83" s="5" t="s">
        <v>24</v>
      </c>
      <c r="G83" s="1"/>
      <c r="H83" s="1"/>
      <c r="I83" s="1"/>
      <c r="J83" s="1"/>
      <c r="K83" s="1"/>
    </row>
    <row r="84" ht="15.75" customHeight="1">
      <c r="A84" s="1"/>
      <c r="B84" s="8">
        <v>46129.0</v>
      </c>
      <c r="C84" s="3" t="str">
        <f t="shared" si="1"/>
        <v>Friday</v>
      </c>
      <c r="D84" s="9" t="s">
        <v>38</v>
      </c>
      <c r="E84" s="5" t="s">
        <v>39</v>
      </c>
      <c r="F84" s="5" t="s">
        <v>21</v>
      </c>
      <c r="G84" s="1"/>
      <c r="H84" s="1"/>
      <c r="I84" s="1"/>
      <c r="J84" s="1"/>
      <c r="K84" s="1"/>
    </row>
    <row r="85" ht="15.75" customHeight="1">
      <c r="A85" s="1"/>
      <c r="B85" s="8">
        <v>46132.0</v>
      </c>
      <c r="C85" s="3" t="str">
        <f t="shared" si="1"/>
        <v>Monday</v>
      </c>
      <c r="D85" s="9" t="s">
        <v>55</v>
      </c>
      <c r="E85" s="5"/>
      <c r="F85" s="5"/>
      <c r="G85" s="1"/>
      <c r="H85" s="1"/>
      <c r="I85" s="1"/>
      <c r="J85" s="1"/>
      <c r="K85" s="1"/>
    </row>
    <row r="86" ht="15.75" customHeight="1">
      <c r="A86" s="1"/>
      <c r="B86" s="8">
        <v>46133.0</v>
      </c>
      <c r="C86" s="3" t="str">
        <f t="shared" si="1"/>
        <v>Tuesday</v>
      </c>
      <c r="D86" s="9" t="s">
        <v>55</v>
      </c>
      <c r="E86" s="5"/>
      <c r="F86" s="5"/>
      <c r="G86" s="1"/>
      <c r="H86" s="1"/>
      <c r="I86" s="1"/>
      <c r="J86" s="1"/>
      <c r="K86" s="1"/>
    </row>
    <row r="87" ht="15.75" customHeight="1">
      <c r="A87" s="1"/>
      <c r="B87" s="8">
        <v>46134.0</v>
      </c>
      <c r="C87" s="3" t="str">
        <f t="shared" si="1"/>
        <v>Wednesday</v>
      </c>
      <c r="D87" s="4" t="s">
        <v>33</v>
      </c>
      <c r="E87" s="5"/>
      <c r="F87" s="5"/>
      <c r="G87" s="1"/>
      <c r="H87" s="1"/>
      <c r="I87" s="1"/>
      <c r="J87" s="1"/>
      <c r="K87" s="1"/>
    </row>
    <row r="88" ht="15.75" customHeight="1">
      <c r="A88" s="1"/>
      <c r="B88" s="8">
        <v>46134.0</v>
      </c>
      <c r="C88" s="3" t="str">
        <f t="shared" si="1"/>
        <v>Wednesday</v>
      </c>
      <c r="D88" s="9" t="s">
        <v>55</v>
      </c>
      <c r="E88" s="5"/>
      <c r="F88" s="5"/>
      <c r="G88" s="1"/>
      <c r="H88" s="1"/>
      <c r="I88" s="1"/>
      <c r="J88" s="1"/>
      <c r="K88" s="1"/>
    </row>
    <row r="89" ht="15.75" customHeight="1">
      <c r="A89" s="1"/>
      <c r="B89" s="8">
        <v>46135.0</v>
      </c>
      <c r="C89" s="3" t="str">
        <f t="shared" si="1"/>
        <v>Thursday</v>
      </c>
      <c r="D89" s="9" t="s">
        <v>55</v>
      </c>
      <c r="E89" s="5"/>
      <c r="F89" s="5"/>
      <c r="G89" s="1"/>
      <c r="H89" s="1"/>
      <c r="I89" s="1"/>
      <c r="J89" s="1"/>
      <c r="K89" s="1"/>
    </row>
    <row r="90" ht="15.75" customHeight="1">
      <c r="A90" s="1"/>
      <c r="B90" s="8">
        <v>46136.0</v>
      </c>
      <c r="C90" s="3" t="str">
        <f t="shared" si="1"/>
        <v>Friday</v>
      </c>
      <c r="D90" s="9" t="s">
        <v>38</v>
      </c>
      <c r="E90" s="5" t="s">
        <v>39</v>
      </c>
      <c r="F90" s="5" t="s">
        <v>21</v>
      </c>
      <c r="G90" s="1"/>
      <c r="H90" s="1"/>
      <c r="I90" s="1"/>
      <c r="J90" s="1"/>
      <c r="K90" s="1"/>
    </row>
    <row r="91" ht="15.75" customHeight="1">
      <c r="A91" s="1"/>
      <c r="B91" s="8">
        <v>46136.0</v>
      </c>
      <c r="C91" s="3" t="str">
        <f t="shared" si="1"/>
        <v>Friday</v>
      </c>
      <c r="D91" s="9" t="s">
        <v>55</v>
      </c>
      <c r="E91" s="5"/>
      <c r="F91" s="5"/>
      <c r="G91" s="1"/>
      <c r="H91" s="1"/>
      <c r="I91" s="1"/>
      <c r="J91" s="1"/>
      <c r="K91" s="1"/>
    </row>
    <row r="92" ht="15.75" customHeight="1">
      <c r="A92" s="1"/>
      <c r="B92" s="8">
        <v>46137.0</v>
      </c>
      <c r="C92" s="3" t="str">
        <f t="shared" si="1"/>
        <v>Saturday</v>
      </c>
      <c r="D92" s="9" t="s">
        <v>63</v>
      </c>
      <c r="E92" s="5"/>
      <c r="F92" s="5" t="s">
        <v>17</v>
      </c>
      <c r="G92" s="1"/>
      <c r="H92" s="1"/>
      <c r="I92" s="1"/>
      <c r="J92" s="1"/>
      <c r="K92" s="1"/>
    </row>
    <row r="93" ht="15.75" customHeight="1">
      <c r="A93" s="1"/>
      <c r="B93" s="8">
        <v>46138.0</v>
      </c>
      <c r="C93" s="3" t="str">
        <f t="shared" si="1"/>
        <v>Sunday</v>
      </c>
      <c r="D93" s="9" t="s">
        <v>63</v>
      </c>
      <c r="E93" s="5"/>
      <c r="F93" s="5" t="s">
        <v>17</v>
      </c>
      <c r="G93" s="1"/>
      <c r="H93" s="1"/>
      <c r="I93" s="1"/>
      <c r="J93" s="1"/>
      <c r="K93" s="1"/>
    </row>
    <row r="94" ht="15.75" customHeight="1">
      <c r="A94" s="1"/>
      <c r="B94" s="8">
        <v>46138.0</v>
      </c>
      <c r="C94" s="3" t="str">
        <f t="shared" si="1"/>
        <v>Sunday</v>
      </c>
      <c r="D94" s="9" t="s">
        <v>64</v>
      </c>
      <c r="E94" s="5" t="s">
        <v>23</v>
      </c>
      <c r="F94" s="5" t="s">
        <v>23</v>
      </c>
      <c r="G94" s="1"/>
      <c r="H94" s="1"/>
      <c r="I94" s="1"/>
      <c r="J94" s="1"/>
      <c r="K94" s="1"/>
    </row>
    <row r="95" ht="15.75" customHeight="1">
      <c r="A95" s="1"/>
      <c r="B95" s="8">
        <v>46138.0</v>
      </c>
      <c r="C95" s="3" t="str">
        <f t="shared" si="1"/>
        <v>Sunday</v>
      </c>
      <c r="D95" s="9" t="s">
        <v>25</v>
      </c>
      <c r="E95" s="5"/>
      <c r="F95" s="5" t="s">
        <v>43</v>
      </c>
      <c r="G95" s="1"/>
      <c r="H95" s="1"/>
      <c r="I95" s="1"/>
      <c r="J95" s="1"/>
      <c r="K95" s="1"/>
    </row>
    <row r="96" ht="15.75" customHeight="1">
      <c r="A96" s="1"/>
      <c r="B96" s="8">
        <v>46141.0</v>
      </c>
      <c r="C96" s="3" t="str">
        <f t="shared" si="1"/>
        <v>Wednesday</v>
      </c>
      <c r="D96" s="4" t="s">
        <v>33</v>
      </c>
      <c r="E96" s="5"/>
      <c r="F96" s="5"/>
      <c r="G96" s="1"/>
      <c r="H96" s="1"/>
      <c r="I96" s="1"/>
      <c r="J96" s="1"/>
      <c r="K96" s="1"/>
    </row>
    <row r="97" ht="15.75" customHeight="1">
      <c r="A97" s="1"/>
      <c r="B97" s="8">
        <v>46142.0</v>
      </c>
      <c r="C97" s="3" t="str">
        <f t="shared" si="1"/>
        <v>Thursday</v>
      </c>
      <c r="D97" s="9" t="s">
        <v>26</v>
      </c>
      <c r="E97" s="5" t="s">
        <v>27</v>
      </c>
      <c r="F97" s="5" t="s">
        <v>24</v>
      </c>
      <c r="G97" s="1"/>
      <c r="H97" s="1"/>
      <c r="I97" s="1"/>
      <c r="J97" s="1"/>
      <c r="K97" s="1"/>
    </row>
    <row r="98" ht="15.75" customHeight="1">
      <c r="A98" s="1"/>
      <c r="B98" s="8">
        <v>46144.0</v>
      </c>
      <c r="C98" s="3" t="str">
        <f t="shared" si="1"/>
        <v>Saturday</v>
      </c>
      <c r="D98" s="9" t="s">
        <v>65</v>
      </c>
      <c r="E98" s="5" t="s">
        <v>66</v>
      </c>
      <c r="F98" s="5" t="s">
        <v>23</v>
      </c>
      <c r="G98" s="1"/>
      <c r="H98" s="1"/>
      <c r="I98" s="1"/>
      <c r="J98" s="1"/>
      <c r="K98" s="1"/>
    </row>
    <row r="99" ht="15.75" customHeight="1">
      <c r="A99" s="1"/>
      <c r="B99" s="8">
        <v>46145.0</v>
      </c>
      <c r="C99" s="3" t="str">
        <f t="shared" si="1"/>
        <v>Sunday</v>
      </c>
      <c r="D99" s="4" t="s">
        <v>28</v>
      </c>
      <c r="E99" s="5"/>
      <c r="F99" s="5"/>
      <c r="G99" s="1"/>
      <c r="H99" s="1"/>
      <c r="I99" s="1"/>
      <c r="J99" s="1"/>
      <c r="K99" s="1"/>
    </row>
    <row r="100" ht="15.75" customHeight="1">
      <c r="A100" s="1"/>
      <c r="B100" s="8">
        <v>46148.0</v>
      </c>
      <c r="C100" s="3" t="str">
        <f t="shared" si="1"/>
        <v>Wednesday</v>
      </c>
      <c r="D100" s="4" t="s">
        <v>33</v>
      </c>
      <c r="E100" s="5"/>
      <c r="F100" s="5"/>
      <c r="G100" s="1"/>
      <c r="H100" s="1"/>
      <c r="I100" s="1"/>
      <c r="J100" s="1"/>
      <c r="K100" s="1"/>
    </row>
    <row r="101" ht="15.75" customHeight="1">
      <c r="A101" s="1"/>
      <c r="B101" s="8">
        <v>46150.0</v>
      </c>
      <c r="C101" s="3" t="str">
        <f t="shared" si="1"/>
        <v>Friday</v>
      </c>
      <c r="D101" s="9" t="s">
        <v>36</v>
      </c>
      <c r="E101" s="5" t="s">
        <v>16</v>
      </c>
      <c r="F101" s="5" t="s">
        <v>37</v>
      </c>
      <c r="G101" s="1"/>
      <c r="H101" s="1"/>
      <c r="I101" s="1"/>
      <c r="J101" s="1"/>
      <c r="K101" s="1"/>
    </row>
    <row r="102" ht="15.75" customHeight="1">
      <c r="A102" s="1"/>
      <c r="B102" s="8">
        <v>46150.0</v>
      </c>
      <c r="C102" s="3" t="str">
        <f t="shared" si="1"/>
        <v>Friday</v>
      </c>
      <c r="D102" s="9" t="s">
        <v>38</v>
      </c>
      <c r="E102" s="5" t="s">
        <v>39</v>
      </c>
      <c r="F102" s="5" t="s">
        <v>21</v>
      </c>
      <c r="G102" s="1"/>
      <c r="H102" s="1"/>
      <c r="I102" s="1"/>
      <c r="J102" s="1"/>
      <c r="K102" s="1"/>
    </row>
    <row r="103" ht="15.75" customHeight="1">
      <c r="A103" s="1"/>
      <c r="B103" s="8">
        <v>46151.0</v>
      </c>
      <c r="C103" s="3" t="str">
        <f t="shared" si="1"/>
        <v>Saturday</v>
      </c>
      <c r="D103" s="9" t="s">
        <v>41</v>
      </c>
      <c r="E103" s="5"/>
      <c r="F103" s="5" t="s">
        <v>37</v>
      </c>
      <c r="G103" s="1"/>
      <c r="H103" s="1"/>
      <c r="I103" s="1"/>
      <c r="J103" s="1"/>
      <c r="K103" s="1"/>
    </row>
    <row r="104" ht="15.75" customHeight="1">
      <c r="A104" s="1"/>
      <c r="B104" s="8">
        <v>46152.0</v>
      </c>
      <c r="C104" s="3" t="str">
        <f t="shared" si="1"/>
        <v>Sunday</v>
      </c>
      <c r="D104" s="9" t="s">
        <v>67</v>
      </c>
      <c r="E104" s="5" t="s">
        <v>53</v>
      </c>
      <c r="F104" s="5" t="s">
        <v>24</v>
      </c>
      <c r="G104" s="1"/>
      <c r="H104" s="1"/>
      <c r="I104" s="1"/>
      <c r="J104" s="1"/>
      <c r="K104" s="1"/>
    </row>
    <row r="105" ht="15.75" customHeight="1">
      <c r="A105" s="1"/>
      <c r="B105" s="8">
        <v>46155.0</v>
      </c>
      <c r="C105" s="3" t="str">
        <f t="shared" si="1"/>
        <v>Wednesday</v>
      </c>
      <c r="D105" s="4" t="s">
        <v>33</v>
      </c>
      <c r="E105" s="5"/>
      <c r="F105" s="5"/>
      <c r="G105" s="1"/>
      <c r="H105" s="1"/>
      <c r="I105" s="1"/>
      <c r="J105" s="1"/>
      <c r="K105" s="1"/>
    </row>
    <row r="106" ht="15.75" customHeight="1">
      <c r="A106" s="1"/>
      <c r="B106" s="14">
        <v>46156.0</v>
      </c>
      <c r="C106" s="3" t="str">
        <f t="shared" si="1"/>
        <v>Thursday</v>
      </c>
      <c r="D106" s="9" t="s">
        <v>34</v>
      </c>
      <c r="E106" s="5"/>
      <c r="F106" s="5" t="s">
        <v>35</v>
      </c>
      <c r="G106" s="1"/>
      <c r="H106" s="1"/>
      <c r="I106" s="1"/>
      <c r="J106" s="1"/>
      <c r="K106" s="1"/>
    </row>
    <row r="107" ht="15.75" customHeight="1">
      <c r="A107" s="1"/>
      <c r="B107" s="8">
        <v>46157.0</v>
      </c>
      <c r="C107" s="3" t="str">
        <f t="shared" si="1"/>
        <v>Friday</v>
      </c>
      <c r="D107" s="9" t="s">
        <v>38</v>
      </c>
      <c r="E107" s="5" t="s">
        <v>39</v>
      </c>
      <c r="F107" s="5" t="s">
        <v>21</v>
      </c>
      <c r="G107" s="1"/>
      <c r="H107" s="1"/>
      <c r="I107" s="1"/>
      <c r="J107" s="1"/>
      <c r="K107" s="1"/>
    </row>
    <row r="108" ht="15.75" customHeight="1">
      <c r="A108" s="1"/>
      <c r="B108" s="8">
        <v>46158.0</v>
      </c>
      <c r="C108" s="3" t="str">
        <f t="shared" si="1"/>
        <v>Saturday</v>
      </c>
      <c r="D108" s="9" t="s">
        <v>21</v>
      </c>
      <c r="E108" s="5" t="s">
        <v>16</v>
      </c>
      <c r="F108" s="5" t="s">
        <v>21</v>
      </c>
      <c r="G108" s="1"/>
      <c r="H108" s="1"/>
      <c r="I108" s="1"/>
      <c r="J108" s="1"/>
      <c r="K108" s="1"/>
    </row>
    <row r="109" ht="15.75" customHeight="1">
      <c r="A109" s="1"/>
      <c r="B109" s="8">
        <v>46159.0</v>
      </c>
      <c r="C109" s="3" t="str">
        <f t="shared" si="1"/>
        <v>Sunday</v>
      </c>
      <c r="D109" s="9" t="s">
        <v>68</v>
      </c>
      <c r="E109" s="5"/>
      <c r="F109" s="5" t="s">
        <v>69</v>
      </c>
      <c r="G109" s="1"/>
      <c r="H109" s="1"/>
      <c r="I109" s="1"/>
      <c r="J109" s="1"/>
      <c r="K109" s="1"/>
    </row>
    <row r="110" ht="15.75" customHeight="1">
      <c r="A110" s="1"/>
      <c r="B110" s="8">
        <v>46159.0</v>
      </c>
      <c r="C110" s="3" t="str">
        <f t="shared" si="1"/>
        <v>Sunday</v>
      </c>
      <c r="D110" s="9" t="s">
        <v>44</v>
      </c>
      <c r="E110" s="5" t="s">
        <v>70</v>
      </c>
      <c r="F110" s="5" t="s">
        <v>21</v>
      </c>
      <c r="G110" s="1"/>
      <c r="H110" s="1"/>
      <c r="I110" s="1"/>
      <c r="J110" s="1"/>
      <c r="K110" s="1"/>
    </row>
    <row r="111" ht="15.75" customHeight="1">
      <c r="A111" s="1"/>
      <c r="B111" s="8">
        <v>46162.0</v>
      </c>
      <c r="C111" s="3" t="str">
        <f t="shared" si="1"/>
        <v>Wednesday</v>
      </c>
      <c r="D111" s="4" t="s">
        <v>33</v>
      </c>
      <c r="E111" s="5"/>
      <c r="F111" s="5"/>
      <c r="G111" s="1"/>
      <c r="H111" s="1"/>
      <c r="I111" s="1"/>
      <c r="J111" s="1"/>
      <c r="K111" s="1"/>
    </row>
    <row r="112" ht="15.75" customHeight="1">
      <c r="A112" s="1"/>
      <c r="B112" s="8">
        <v>46163.0</v>
      </c>
      <c r="C112" s="3" t="str">
        <f t="shared" si="1"/>
        <v>Thursday</v>
      </c>
      <c r="D112" s="9" t="s">
        <v>22</v>
      </c>
      <c r="E112" s="5" t="s">
        <v>23</v>
      </c>
      <c r="F112" s="5" t="s">
        <v>24</v>
      </c>
      <c r="G112" s="1"/>
      <c r="H112" s="1"/>
      <c r="I112" s="1"/>
      <c r="J112" s="1"/>
      <c r="K112" s="1"/>
    </row>
    <row r="113" ht="15.75" customHeight="1">
      <c r="A113" s="1"/>
      <c r="B113" s="8">
        <v>46164.0</v>
      </c>
      <c r="C113" s="3" t="str">
        <f t="shared" si="1"/>
        <v>Friday</v>
      </c>
      <c r="D113" s="9" t="s">
        <v>38</v>
      </c>
      <c r="E113" s="5" t="s">
        <v>39</v>
      </c>
      <c r="F113" s="5" t="s">
        <v>21</v>
      </c>
      <c r="G113" s="1"/>
      <c r="H113" s="1"/>
      <c r="I113" s="1"/>
      <c r="J113" s="1"/>
      <c r="K113" s="1"/>
    </row>
    <row r="114" ht="15.75" customHeight="1">
      <c r="A114" s="1"/>
      <c r="B114" s="8">
        <v>46165.0</v>
      </c>
      <c r="C114" s="3" t="str">
        <f t="shared" si="1"/>
        <v>Saturday</v>
      </c>
      <c r="D114" s="9" t="s">
        <v>71</v>
      </c>
      <c r="E114" s="5" t="s">
        <v>16</v>
      </c>
      <c r="F114" s="5" t="s">
        <v>37</v>
      </c>
      <c r="G114" s="1"/>
      <c r="H114" s="1"/>
      <c r="I114" s="1"/>
      <c r="J114" s="1"/>
      <c r="K114" s="1"/>
    </row>
    <row r="115" ht="15.75" customHeight="1">
      <c r="A115" s="1"/>
      <c r="B115" s="8">
        <v>46166.0</v>
      </c>
      <c r="C115" s="3" t="str">
        <f t="shared" si="1"/>
        <v>Sunday</v>
      </c>
      <c r="D115" s="9" t="s">
        <v>71</v>
      </c>
      <c r="E115" s="5" t="s">
        <v>16</v>
      </c>
      <c r="F115" s="5" t="s">
        <v>37</v>
      </c>
      <c r="G115" s="1"/>
      <c r="H115" s="1"/>
      <c r="I115" s="1"/>
      <c r="J115" s="1"/>
      <c r="K115" s="1"/>
    </row>
    <row r="116" ht="15.75" customHeight="1">
      <c r="A116" s="1"/>
      <c r="B116" s="8">
        <v>46166.0</v>
      </c>
      <c r="C116" s="3" t="str">
        <f t="shared" si="1"/>
        <v>Sunday</v>
      </c>
      <c r="D116" s="9" t="s">
        <v>25</v>
      </c>
      <c r="E116" s="5"/>
      <c r="F116" s="5" t="s">
        <v>43</v>
      </c>
      <c r="G116" s="1"/>
      <c r="H116" s="1"/>
      <c r="I116" s="1"/>
      <c r="J116" s="1"/>
      <c r="K116" s="1"/>
    </row>
    <row r="117" ht="15.75" customHeight="1">
      <c r="A117" s="1"/>
      <c r="B117" s="8">
        <v>46169.0</v>
      </c>
      <c r="C117" s="3" t="str">
        <f t="shared" si="1"/>
        <v>Wednesday</v>
      </c>
      <c r="D117" s="4" t="s">
        <v>33</v>
      </c>
      <c r="E117" s="5"/>
      <c r="F117" s="5"/>
      <c r="G117" s="1"/>
      <c r="H117" s="1"/>
      <c r="I117" s="1"/>
      <c r="J117" s="1"/>
      <c r="K117" s="1"/>
    </row>
    <row r="118" ht="15.75" customHeight="1">
      <c r="A118" s="1"/>
      <c r="B118" s="8">
        <v>46171.0</v>
      </c>
      <c r="C118" s="3" t="str">
        <f t="shared" si="1"/>
        <v>Friday</v>
      </c>
      <c r="D118" s="9" t="s">
        <v>72</v>
      </c>
      <c r="E118" s="5" t="s">
        <v>16</v>
      </c>
      <c r="F118" s="5" t="s">
        <v>17</v>
      </c>
      <c r="G118" s="1"/>
      <c r="H118" s="1"/>
      <c r="I118" s="1"/>
      <c r="J118" s="1"/>
      <c r="K118" s="1"/>
    </row>
    <row r="119" ht="15.75" customHeight="1">
      <c r="A119" s="1"/>
      <c r="B119" s="8">
        <v>46172.0</v>
      </c>
      <c r="C119" s="3" t="str">
        <f t="shared" si="1"/>
        <v>Saturday</v>
      </c>
      <c r="D119" s="9" t="s">
        <v>72</v>
      </c>
      <c r="E119" s="5" t="s">
        <v>16</v>
      </c>
      <c r="F119" s="5" t="s">
        <v>17</v>
      </c>
      <c r="G119" s="1"/>
      <c r="H119" s="1"/>
      <c r="I119" s="1"/>
      <c r="J119" s="1"/>
      <c r="K119" s="1"/>
    </row>
    <row r="120" ht="15.75" customHeight="1">
      <c r="A120" s="1"/>
      <c r="B120" s="8">
        <v>46173.0</v>
      </c>
      <c r="C120" s="3" t="str">
        <f t="shared" si="1"/>
        <v>Sunday</v>
      </c>
      <c r="D120" s="9" t="s">
        <v>73</v>
      </c>
      <c r="E120" s="5"/>
      <c r="F120" s="5"/>
      <c r="G120" s="1"/>
      <c r="H120" s="1"/>
      <c r="I120" s="1"/>
      <c r="J120" s="1"/>
      <c r="K120" s="1"/>
    </row>
    <row r="121" ht="15.75" customHeight="1">
      <c r="A121" s="1"/>
      <c r="B121" s="8">
        <v>46176.0</v>
      </c>
      <c r="C121" s="3" t="str">
        <f t="shared" si="1"/>
        <v>Wednesday</v>
      </c>
      <c r="D121" s="4" t="s">
        <v>33</v>
      </c>
      <c r="E121" s="5"/>
      <c r="F121" s="5"/>
      <c r="G121" s="1"/>
      <c r="H121" s="1"/>
      <c r="I121" s="1"/>
      <c r="J121" s="1"/>
      <c r="K121" s="1"/>
    </row>
    <row r="122" ht="15.75" customHeight="1">
      <c r="A122" s="1"/>
      <c r="B122" s="8">
        <v>46178.0</v>
      </c>
      <c r="C122" s="3" t="str">
        <f t="shared" si="1"/>
        <v>Friday</v>
      </c>
      <c r="D122" s="9" t="s">
        <v>36</v>
      </c>
      <c r="E122" s="5" t="s">
        <v>16</v>
      </c>
      <c r="F122" s="5" t="s">
        <v>37</v>
      </c>
      <c r="G122" s="1"/>
      <c r="H122" s="1"/>
      <c r="I122" s="1"/>
      <c r="J122" s="1"/>
      <c r="K122" s="1"/>
    </row>
    <row r="123" ht="15.75" customHeight="1">
      <c r="A123" s="1"/>
      <c r="B123" s="8">
        <v>46183.0</v>
      </c>
      <c r="C123" s="3" t="str">
        <f t="shared" si="1"/>
        <v>Wednesday</v>
      </c>
      <c r="D123" s="4" t="s">
        <v>33</v>
      </c>
      <c r="E123" s="5"/>
      <c r="F123" s="5"/>
      <c r="G123" s="1"/>
      <c r="H123" s="1"/>
      <c r="I123" s="1"/>
      <c r="J123" s="1"/>
      <c r="K123" s="1"/>
    </row>
    <row r="124" ht="15.75" customHeight="1">
      <c r="A124" s="1"/>
      <c r="B124" s="8">
        <v>46185.0</v>
      </c>
      <c r="C124" s="3" t="str">
        <f t="shared" si="1"/>
        <v>Friday</v>
      </c>
      <c r="D124" s="9" t="s">
        <v>38</v>
      </c>
      <c r="E124" s="5" t="s">
        <v>39</v>
      </c>
      <c r="F124" s="5" t="s">
        <v>21</v>
      </c>
      <c r="G124" s="1"/>
      <c r="H124" s="1"/>
      <c r="I124" s="1"/>
      <c r="J124" s="1"/>
      <c r="K124" s="1"/>
    </row>
    <row r="125" ht="15.75" customHeight="1">
      <c r="A125" s="1"/>
      <c r="B125" s="8">
        <v>46186.0</v>
      </c>
      <c r="C125" s="3" t="str">
        <f t="shared" si="1"/>
        <v>Saturday</v>
      </c>
      <c r="D125" s="9" t="s">
        <v>74</v>
      </c>
      <c r="E125" s="5" t="s">
        <v>20</v>
      </c>
      <c r="F125" s="5" t="s">
        <v>75</v>
      </c>
      <c r="G125" s="1"/>
      <c r="H125" s="1"/>
      <c r="I125" s="1"/>
      <c r="J125" s="1"/>
      <c r="K125" s="1"/>
    </row>
    <row r="126" ht="15.75" customHeight="1">
      <c r="A126" s="1"/>
      <c r="B126" s="8">
        <v>46186.0</v>
      </c>
      <c r="C126" s="3" t="str">
        <f t="shared" si="1"/>
        <v>Saturday</v>
      </c>
      <c r="D126" s="9" t="s">
        <v>41</v>
      </c>
      <c r="E126" s="5"/>
      <c r="F126" s="5" t="s">
        <v>37</v>
      </c>
      <c r="G126" s="1"/>
      <c r="H126" s="1"/>
      <c r="I126" s="1"/>
      <c r="J126" s="1"/>
      <c r="K126" s="1"/>
    </row>
    <row r="127" ht="15.75" customHeight="1">
      <c r="A127" s="1"/>
      <c r="B127" s="8">
        <v>46187.0</v>
      </c>
      <c r="C127" s="3" t="str">
        <f t="shared" si="1"/>
        <v>Sunday</v>
      </c>
      <c r="D127" s="9" t="s">
        <v>44</v>
      </c>
      <c r="E127" s="5" t="s">
        <v>20</v>
      </c>
      <c r="F127" s="5" t="s">
        <v>21</v>
      </c>
      <c r="G127" s="1"/>
      <c r="H127" s="1"/>
      <c r="I127" s="1"/>
      <c r="J127" s="1"/>
      <c r="K127" s="1"/>
    </row>
    <row r="128" ht="15.75" customHeight="1">
      <c r="A128" s="1"/>
      <c r="B128" s="8">
        <v>46190.0</v>
      </c>
      <c r="C128" s="3" t="str">
        <f t="shared" si="1"/>
        <v>Wednesday</v>
      </c>
      <c r="D128" s="4" t="s">
        <v>33</v>
      </c>
      <c r="E128" s="5"/>
      <c r="F128" s="5"/>
      <c r="G128" s="1"/>
      <c r="H128" s="1"/>
      <c r="I128" s="1"/>
      <c r="J128" s="1"/>
      <c r="K128" s="1"/>
    </row>
    <row r="129" ht="15.75" customHeight="1">
      <c r="A129" s="1"/>
      <c r="B129" s="8">
        <v>46191.0</v>
      </c>
      <c r="C129" s="3" t="str">
        <f t="shared" si="1"/>
        <v>Thursday</v>
      </c>
      <c r="D129" s="9" t="s">
        <v>22</v>
      </c>
      <c r="E129" s="5" t="s">
        <v>23</v>
      </c>
      <c r="F129" s="5" t="s">
        <v>24</v>
      </c>
      <c r="G129" s="1"/>
      <c r="H129" s="1"/>
      <c r="I129" s="1"/>
      <c r="J129" s="1"/>
      <c r="K129" s="1"/>
    </row>
    <row r="130" ht="15.75" customHeight="1">
      <c r="A130" s="1"/>
      <c r="B130" s="8">
        <v>46192.0</v>
      </c>
      <c r="C130" s="3" t="str">
        <f t="shared" si="1"/>
        <v>Friday</v>
      </c>
      <c r="D130" s="9" t="s">
        <v>38</v>
      </c>
      <c r="E130" s="5" t="s">
        <v>39</v>
      </c>
      <c r="F130" s="5" t="s">
        <v>21</v>
      </c>
      <c r="G130" s="1"/>
      <c r="H130" s="1"/>
      <c r="I130" s="1"/>
      <c r="J130" s="1"/>
      <c r="K130" s="1"/>
    </row>
    <row r="131" ht="15.75" customHeight="1">
      <c r="A131" s="1"/>
      <c r="B131" s="8">
        <v>46193.0</v>
      </c>
      <c r="C131" s="3" t="str">
        <f t="shared" si="1"/>
        <v>Saturday</v>
      </c>
      <c r="D131" s="9" t="s">
        <v>21</v>
      </c>
      <c r="E131" s="5" t="s">
        <v>16</v>
      </c>
      <c r="F131" s="5" t="s">
        <v>21</v>
      </c>
      <c r="G131" s="1"/>
      <c r="H131" s="1"/>
      <c r="I131" s="1"/>
      <c r="J131" s="1"/>
      <c r="K131" s="1"/>
    </row>
    <row r="132" ht="15.75" customHeight="1">
      <c r="A132" s="1"/>
      <c r="B132" s="8">
        <v>46194.0</v>
      </c>
      <c r="C132" s="3" t="str">
        <f t="shared" si="1"/>
        <v>Sunday</v>
      </c>
      <c r="D132" s="4" t="s">
        <v>28</v>
      </c>
      <c r="E132" s="5"/>
      <c r="F132" s="5"/>
      <c r="G132" s="1"/>
      <c r="H132" s="1"/>
      <c r="I132" s="1"/>
      <c r="J132" s="1"/>
      <c r="K132" s="1"/>
    </row>
    <row r="133" ht="15.75" customHeight="1">
      <c r="A133" s="1"/>
      <c r="B133" s="8">
        <v>46194.0</v>
      </c>
      <c r="C133" s="3" t="str">
        <f t="shared" si="1"/>
        <v>Sunday</v>
      </c>
      <c r="D133" s="9" t="s">
        <v>76</v>
      </c>
      <c r="E133" s="5"/>
      <c r="F133" s="5" t="s">
        <v>43</v>
      </c>
      <c r="G133" s="1"/>
      <c r="H133" s="1"/>
      <c r="I133" s="1"/>
      <c r="J133" s="1"/>
      <c r="K133" s="1"/>
    </row>
    <row r="134" ht="15.75" customHeight="1">
      <c r="A134" s="1"/>
      <c r="B134" s="8">
        <v>46195.0</v>
      </c>
      <c r="C134" s="3" t="str">
        <f t="shared" si="1"/>
        <v>Monday</v>
      </c>
      <c r="D134" s="9" t="s">
        <v>55</v>
      </c>
      <c r="E134" s="5"/>
      <c r="F134" s="5"/>
      <c r="G134" s="1"/>
      <c r="H134" s="1"/>
      <c r="I134" s="1"/>
      <c r="J134" s="1"/>
      <c r="K134" s="1"/>
    </row>
    <row r="135" ht="15.75" customHeight="1">
      <c r="A135" s="1"/>
      <c r="B135" s="8">
        <v>46196.0</v>
      </c>
      <c r="C135" s="3" t="str">
        <f t="shared" si="1"/>
        <v>Tuesday</v>
      </c>
      <c r="D135" s="9" t="s">
        <v>55</v>
      </c>
      <c r="E135" s="5"/>
      <c r="F135" s="5"/>
      <c r="G135" s="1"/>
      <c r="H135" s="1"/>
      <c r="I135" s="1"/>
      <c r="J135" s="1"/>
      <c r="K135" s="1"/>
    </row>
    <row r="136" ht="15.75" customHeight="1">
      <c r="A136" s="1"/>
      <c r="B136" s="8">
        <v>46197.0</v>
      </c>
      <c r="C136" s="3" t="str">
        <f t="shared" si="1"/>
        <v>Wednesday</v>
      </c>
      <c r="D136" s="4" t="s">
        <v>33</v>
      </c>
      <c r="E136" s="5"/>
      <c r="F136" s="5"/>
      <c r="G136" s="1"/>
      <c r="H136" s="1"/>
      <c r="I136" s="1"/>
      <c r="J136" s="1"/>
      <c r="K136" s="1"/>
    </row>
    <row r="137" ht="15.75" customHeight="1">
      <c r="A137" s="1"/>
      <c r="B137" s="8">
        <v>46197.0</v>
      </c>
      <c r="C137" s="3" t="str">
        <f t="shared" si="1"/>
        <v>Wednesday</v>
      </c>
      <c r="D137" s="9" t="s">
        <v>55</v>
      </c>
      <c r="E137" s="5"/>
      <c r="F137" s="5"/>
      <c r="G137" s="1"/>
      <c r="H137" s="1"/>
      <c r="I137" s="1"/>
      <c r="J137" s="1"/>
      <c r="K137" s="1"/>
    </row>
    <row r="138" ht="15.75" customHeight="1">
      <c r="A138" s="1"/>
      <c r="B138" s="8">
        <v>46198.0</v>
      </c>
      <c r="C138" s="3" t="str">
        <f t="shared" si="1"/>
        <v>Thursday</v>
      </c>
      <c r="D138" s="9" t="s">
        <v>55</v>
      </c>
      <c r="E138" s="5"/>
      <c r="F138" s="5"/>
      <c r="G138" s="1"/>
      <c r="H138" s="1"/>
      <c r="I138" s="1"/>
      <c r="J138" s="1"/>
      <c r="K138" s="1"/>
    </row>
    <row r="139" ht="15.75" customHeight="1">
      <c r="A139" s="1"/>
      <c r="B139" s="8">
        <v>46199.0</v>
      </c>
      <c r="C139" s="3" t="str">
        <f t="shared" si="1"/>
        <v>Friday</v>
      </c>
      <c r="D139" s="9" t="s">
        <v>38</v>
      </c>
      <c r="E139" s="5" t="s">
        <v>39</v>
      </c>
      <c r="F139" s="5" t="s">
        <v>21</v>
      </c>
      <c r="G139" s="1"/>
      <c r="H139" s="1"/>
      <c r="I139" s="1"/>
      <c r="J139" s="1"/>
      <c r="K139" s="1"/>
    </row>
    <row r="140" ht="15.75" customHeight="1">
      <c r="A140" s="1"/>
      <c r="B140" s="8">
        <v>46199.0</v>
      </c>
      <c r="C140" s="3" t="str">
        <f t="shared" si="1"/>
        <v>Friday</v>
      </c>
      <c r="D140" s="9" t="s">
        <v>55</v>
      </c>
      <c r="E140" s="5"/>
      <c r="F140" s="5"/>
      <c r="G140" s="1"/>
      <c r="H140" s="1"/>
      <c r="I140" s="1"/>
      <c r="J140" s="1"/>
      <c r="K140" s="1"/>
    </row>
    <row r="141" ht="15.75" customHeight="1">
      <c r="A141" s="1"/>
      <c r="B141" s="8">
        <v>46200.0</v>
      </c>
      <c r="C141" s="3" t="str">
        <f t="shared" si="1"/>
        <v>Saturday</v>
      </c>
      <c r="D141" s="9" t="s">
        <v>77</v>
      </c>
      <c r="E141" s="5" t="s">
        <v>16</v>
      </c>
      <c r="F141" s="5" t="s">
        <v>78</v>
      </c>
      <c r="G141" s="1"/>
      <c r="H141" s="1"/>
      <c r="I141" s="1"/>
      <c r="J141" s="1"/>
      <c r="K141" s="1"/>
    </row>
    <row r="142" ht="15.75" customHeight="1">
      <c r="A142" s="1"/>
      <c r="B142" s="8">
        <v>46201.0</v>
      </c>
      <c r="C142" s="3" t="str">
        <f t="shared" si="1"/>
        <v>Sunday</v>
      </c>
      <c r="D142" s="9" t="s">
        <v>79</v>
      </c>
      <c r="E142" s="5" t="s">
        <v>16</v>
      </c>
      <c r="F142" s="5" t="s">
        <v>78</v>
      </c>
      <c r="G142" s="1"/>
      <c r="H142" s="1"/>
      <c r="I142" s="1"/>
      <c r="J142" s="1"/>
      <c r="K142" s="1"/>
    </row>
    <row r="143" ht="15.75" customHeight="1">
      <c r="A143" s="1"/>
      <c r="B143" s="8">
        <v>46204.0</v>
      </c>
      <c r="C143" s="3" t="str">
        <f t="shared" si="1"/>
        <v>Wednesday</v>
      </c>
      <c r="D143" s="4" t="s">
        <v>33</v>
      </c>
      <c r="E143" s="5"/>
      <c r="F143" s="5"/>
      <c r="G143" s="1"/>
      <c r="H143" s="1"/>
      <c r="I143" s="1"/>
      <c r="J143" s="1"/>
      <c r="K143" s="1"/>
    </row>
    <row r="144" ht="15.75" customHeight="1">
      <c r="A144" s="1"/>
      <c r="B144" s="8">
        <v>46205.0</v>
      </c>
      <c r="C144" s="3" t="str">
        <f t="shared" si="1"/>
        <v>Thursday</v>
      </c>
      <c r="D144" s="9" t="s">
        <v>80</v>
      </c>
      <c r="E144" s="5"/>
      <c r="F144" s="5" t="s">
        <v>17</v>
      </c>
      <c r="G144" s="1"/>
      <c r="H144" s="1"/>
      <c r="I144" s="1"/>
      <c r="J144" s="1"/>
      <c r="K144" s="1"/>
    </row>
    <row r="145" ht="15.75" customHeight="1">
      <c r="A145" s="1"/>
      <c r="B145" s="8">
        <v>46206.0</v>
      </c>
      <c r="C145" s="3" t="str">
        <f t="shared" si="1"/>
        <v>Friday</v>
      </c>
      <c r="D145" s="9" t="s">
        <v>36</v>
      </c>
      <c r="E145" s="5" t="s">
        <v>16</v>
      </c>
      <c r="F145" s="5" t="s">
        <v>37</v>
      </c>
      <c r="G145" s="1"/>
      <c r="H145" s="1"/>
      <c r="I145" s="1"/>
      <c r="J145" s="1"/>
      <c r="K145" s="1"/>
    </row>
    <row r="146" ht="15.75" customHeight="1">
      <c r="A146" s="1"/>
      <c r="B146" s="8">
        <v>46206.0</v>
      </c>
      <c r="C146" s="3" t="str">
        <f t="shared" si="1"/>
        <v>Friday</v>
      </c>
      <c r="D146" s="9" t="s">
        <v>38</v>
      </c>
      <c r="E146" s="5" t="s">
        <v>39</v>
      </c>
      <c r="F146" s="5" t="s">
        <v>21</v>
      </c>
      <c r="G146" s="1"/>
      <c r="H146" s="1"/>
      <c r="I146" s="1"/>
      <c r="J146" s="1"/>
      <c r="K146" s="1"/>
    </row>
    <row r="147" ht="15.75" customHeight="1">
      <c r="A147" s="1"/>
      <c r="B147" s="8">
        <v>46208.0</v>
      </c>
      <c r="C147" s="3" t="str">
        <f t="shared" si="1"/>
        <v>Sunday</v>
      </c>
      <c r="D147" s="4" t="s">
        <v>28</v>
      </c>
      <c r="E147" s="5"/>
      <c r="F147" s="5"/>
      <c r="G147" s="1"/>
      <c r="H147" s="1"/>
      <c r="I147" s="1"/>
      <c r="J147" s="1"/>
      <c r="K147" s="1"/>
    </row>
    <row r="148" ht="15.75" customHeight="1">
      <c r="A148" s="1"/>
      <c r="B148" s="8">
        <v>46210.0</v>
      </c>
      <c r="C148" s="3" t="str">
        <f t="shared" si="1"/>
        <v>Tuesday</v>
      </c>
      <c r="D148" s="9" t="s">
        <v>81</v>
      </c>
      <c r="E148" s="5" t="s">
        <v>20</v>
      </c>
      <c r="F148" s="5" t="s">
        <v>17</v>
      </c>
      <c r="G148" s="1"/>
      <c r="H148" s="1"/>
      <c r="I148" s="1"/>
      <c r="J148" s="1"/>
      <c r="K148" s="1"/>
    </row>
    <row r="149" ht="15.75" customHeight="1">
      <c r="B149" s="8">
        <v>46211.0</v>
      </c>
      <c r="C149" s="3" t="str">
        <f t="shared" si="1"/>
        <v>Wednesday</v>
      </c>
      <c r="D149" s="4" t="s">
        <v>33</v>
      </c>
      <c r="E149" s="5"/>
      <c r="F149" s="5"/>
      <c r="G149" s="1"/>
      <c r="H149" s="1"/>
      <c r="I149" s="1"/>
      <c r="J149" s="1"/>
      <c r="K149" s="1"/>
    </row>
    <row r="150" ht="15.75" customHeight="1">
      <c r="A150" s="1"/>
      <c r="B150" s="14">
        <v>46212.0</v>
      </c>
      <c r="C150" s="3" t="str">
        <f t="shared" si="1"/>
        <v>Thursday</v>
      </c>
      <c r="D150" s="9" t="s">
        <v>34</v>
      </c>
      <c r="E150" s="5" t="s">
        <v>82</v>
      </c>
      <c r="F150" s="5" t="s">
        <v>35</v>
      </c>
      <c r="G150" s="1"/>
      <c r="H150" s="1"/>
      <c r="I150" s="1"/>
      <c r="J150" s="1"/>
      <c r="K150" s="1"/>
    </row>
    <row r="151" ht="15.75" customHeight="1">
      <c r="A151" s="1"/>
      <c r="B151" s="8">
        <v>46213.0</v>
      </c>
      <c r="C151" s="3" t="str">
        <f t="shared" si="1"/>
        <v>Friday</v>
      </c>
      <c r="D151" s="9" t="s">
        <v>38</v>
      </c>
      <c r="E151" s="5" t="s">
        <v>39</v>
      </c>
      <c r="F151" s="5" t="s">
        <v>21</v>
      </c>
      <c r="G151" s="1"/>
      <c r="H151" s="1"/>
      <c r="I151" s="1"/>
      <c r="J151" s="1"/>
      <c r="K151" s="1"/>
    </row>
    <row r="152" ht="15.75" customHeight="1">
      <c r="A152" s="1"/>
      <c r="B152" s="8">
        <v>46214.0</v>
      </c>
      <c r="C152" s="3" t="str">
        <f t="shared" si="1"/>
        <v>Saturday</v>
      </c>
      <c r="D152" s="9" t="s">
        <v>83</v>
      </c>
      <c r="E152" s="5" t="s">
        <v>84</v>
      </c>
      <c r="F152" s="5" t="s">
        <v>17</v>
      </c>
      <c r="G152" s="1"/>
      <c r="H152" s="1"/>
      <c r="I152" s="1"/>
      <c r="J152" s="1"/>
      <c r="K152" s="1"/>
    </row>
    <row r="153" ht="15.75" customHeight="1">
      <c r="A153" s="1"/>
      <c r="B153" s="8">
        <v>46214.0</v>
      </c>
      <c r="C153" s="3" t="str">
        <f t="shared" si="1"/>
        <v>Saturday</v>
      </c>
      <c r="D153" s="9" t="s">
        <v>41</v>
      </c>
      <c r="E153" s="5"/>
      <c r="F153" s="5" t="s">
        <v>37</v>
      </c>
      <c r="G153" s="1"/>
      <c r="H153" s="1"/>
      <c r="I153" s="1"/>
      <c r="J153" s="1"/>
      <c r="K153" s="1"/>
    </row>
    <row r="154" ht="15.75" customHeight="1">
      <c r="A154" s="1"/>
      <c r="B154" s="8">
        <v>46215.0</v>
      </c>
      <c r="C154" s="3" t="str">
        <f t="shared" si="1"/>
        <v>Sunday</v>
      </c>
      <c r="D154" s="9" t="s">
        <v>44</v>
      </c>
      <c r="E154" s="5" t="s">
        <v>20</v>
      </c>
      <c r="F154" s="5" t="s">
        <v>21</v>
      </c>
      <c r="G154" s="1"/>
      <c r="H154" s="1"/>
      <c r="I154" s="1"/>
      <c r="J154" s="1"/>
      <c r="K154" s="1"/>
    </row>
    <row r="155" ht="15.75" customHeight="1">
      <c r="A155" s="1"/>
      <c r="B155" s="8">
        <v>46218.0</v>
      </c>
      <c r="C155" s="3" t="str">
        <f t="shared" si="1"/>
        <v>Wednesday</v>
      </c>
      <c r="D155" s="4" t="s">
        <v>33</v>
      </c>
      <c r="E155" s="5"/>
      <c r="F155" s="5"/>
      <c r="G155" s="1"/>
      <c r="H155" s="1"/>
      <c r="I155" s="1"/>
      <c r="J155" s="1"/>
      <c r="K155" s="1"/>
    </row>
    <row r="156" ht="15.75" customHeight="1">
      <c r="A156" s="1"/>
      <c r="B156" s="8">
        <v>46219.0</v>
      </c>
      <c r="C156" s="3" t="str">
        <f t="shared" si="1"/>
        <v>Thursday</v>
      </c>
      <c r="D156" s="9" t="s">
        <v>85</v>
      </c>
      <c r="E156" s="5" t="s">
        <v>86</v>
      </c>
      <c r="F156" s="5" t="s">
        <v>23</v>
      </c>
      <c r="G156" s="1"/>
      <c r="H156" s="1"/>
      <c r="I156" s="1"/>
      <c r="J156" s="1"/>
      <c r="K156" s="1"/>
    </row>
    <row r="157" ht="15.75" customHeight="1">
      <c r="A157" s="1"/>
      <c r="B157" s="8">
        <v>46219.0</v>
      </c>
      <c r="C157" s="3" t="str">
        <f t="shared" si="1"/>
        <v>Thursday</v>
      </c>
      <c r="D157" s="9" t="s">
        <v>22</v>
      </c>
      <c r="E157" s="5" t="s">
        <v>23</v>
      </c>
      <c r="F157" s="5" t="s">
        <v>24</v>
      </c>
      <c r="G157" s="1"/>
      <c r="H157" s="1"/>
      <c r="I157" s="1"/>
      <c r="J157" s="1"/>
      <c r="K157" s="1"/>
    </row>
    <row r="158" ht="15.75" customHeight="1">
      <c r="A158" s="1"/>
      <c r="B158" s="8">
        <v>46220.0</v>
      </c>
      <c r="C158" s="3" t="str">
        <f t="shared" si="1"/>
        <v>Friday</v>
      </c>
      <c r="D158" s="9" t="s">
        <v>38</v>
      </c>
      <c r="E158" s="5" t="s">
        <v>39</v>
      </c>
      <c r="F158" s="5" t="s">
        <v>21</v>
      </c>
      <c r="G158" s="1"/>
      <c r="H158" s="1"/>
      <c r="I158" s="1"/>
      <c r="J158" s="1"/>
      <c r="K158" s="1"/>
    </row>
    <row r="159" ht="15.75" customHeight="1">
      <c r="A159" s="1"/>
      <c r="B159" s="8">
        <v>46221.0</v>
      </c>
      <c r="C159" s="3" t="str">
        <f t="shared" si="1"/>
        <v>Saturday</v>
      </c>
      <c r="D159" s="9" t="s">
        <v>21</v>
      </c>
      <c r="E159" s="5" t="s">
        <v>16</v>
      </c>
      <c r="F159" s="5" t="s">
        <v>21</v>
      </c>
      <c r="G159" s="1"/>
      <c r="H159" s="1"/>
      <c r="I159" s="1"/>
      <c r="J159" s="1"/>
      <c r="K159" s="1"/>
    </row>
    <row r="160" ht="15.75" customHeight="1">
      <c r="A160" s="1"/>
      <c r="B160" s="8">
        <v>46225.0</v>
      </c>
      <c r="C160" s="3" t="str">
        <f t="shared" si="1"/>
        <v>Wednesday</v>
      </c>
      <c r="D160" s="4" t="s">
        <v>33</v>
      </c>
      <c r="E160" s="5"/>
      <c r="F160" s="5"/>
      <c r="G160" s="1"/>
      <c r="H160" s="1"/>
      <c r="I160" s="1"/>
      <c r="J160" s="1"/>
      <c r="K160" s="1"/>
    </row>
    <row r="161" ht="15.75" customHeight="1">
      <c r="A161" s="1"/>
      <c r="B161" s="8">
        <v>46227.0</v>
      </c>
      <c r="C161" s="3" t="str">
        <f t="shared" si="1"/>
        <v>Friday</v>
      </c>
      <c r="D161" s="9" t="s">
        <v>38</v>
      </c>
      <c r="E161" s="5" t="s">
        <v>39</v>
      </c>
      <c r="F161" s="5" t="s">
        <v>21</v>
      </c>
      <c r="G161" s="1"/>
      <c r="H161" s="1"/>
      <c r="I161" s="1"/>
      <c r="J161" s="1"/>
      <c r="K161" s="1"/>
    </row>
    <row r="162" ht="15.75" customHeight="1">
      <c r="A162" s="1"/>
      <c r="B162" s="8">
        <v>46228.0</v>
      </c>
      <c r="C162" s="3" t="str">
        <f t="shared" si="1"/>
        <v>Saturday</v>
      </c>
      <c r="D162" s="9" t="s">
        <v>87</v>
      </c>
      <c r="E162" s="5" t="s">
        <v>16</v>
      </c>
      <c r="F162" s="5" t="s">
        <v>24</v>
      </c>
      <c r="G162" s="1"/>
      <c r="H162" s="1"/>
      <c r="I162" s="1"/>
      <c r="J162" s="1"/>
      <c r="K162" s="1"/>
    </row>
    <row r="163" ht="15.75" customHeight="1">
      <c r="A163" s="1"/>
      <c r="B163" s="8">
        <v>46229.0</v>
      </c>
      <c r="C163" s="3" t="str">
        <f t="shared" si="1"/>
        <v>Sunday</v>
      </c>
      <c r="D163" s="9" t="s">
        <v>87</v>
      </c>
      <c r="E163" s="5" t="s">
        <v>16</v>
      </c>
      <c r="F163" s="5" t="s">
        <v>24</v>
      </c>
      <c r="G163" s="1"/>
      <c r="H163" s="1"/>
      <c r="I163" s="1"/>
      <c r="J163" s="1"/>
      <c r="K163" s="1"/>
    </row>
    <row r="164" ht="15.75" customHeight="1">
      <c r="A164" s="1"/>
      <c r="B164" s="8">
        <v>46229.0</v>
      </c>
      <c r="C164" s="3" t="str">
        <f t="shared" si="1"/>
        <v>Sunday</v>
      </c>
      <c r="D164" s="9" t="s">
        <v>25</v>
      </c>
      <c r="E164" s="5"/>
      <c r="F164" s="5" t="s">
        <v>43</v>
      </c>
      <c r="G164" s="1"/>
      <c r="H164" s="1"/>
      <c r="I164" s="1"/>
      <c r="J164" s="1"/>
      <c r="K164" s="1"/>
    </row>
    <row r="165" ht="15.75" customHeight="1">
      <c r="A165" s="1"/>
      <c r="B165" s="8">
        <v>46230.0</v>
      </c>
      <c r="C165" s="3" t="str">
        <f t="shared" si="1"/>
        <v>Monday</v>
      </c>
      <c r="D165" s="9" t="s">
        <v>55</v>
      </c>
      <c r="E165" s="5"/>
      <c r="F165" s="5" t="s">
        <v>37</v>
      </c>
      <c r="G165" s="1"/>
      <c r="H165" s="1"/>
      <c r="I165" s="1"/>
      <c r="J165" s="1"/>
      <c r="K165" s="1"/>
    </row>
    <row r="166" ht="15.75" customHeight="1">
      <c r="A166" s="1"/>
      <c r="B166" s="8">
        <v>46231.0</v>
      </c>
      <c r="C166" s="3" t="str">
        <f t="shared" si="1"/>
        <v>Tuesday</v>
      </c>
      <c r="D166" s="9" t="s">
        <v>55</v>
      </c>
      <c r="E166" s="5"/>
      <c r="F166" s="5" t="s">
        <v>37</v>
      </c>
      <c r="G166" s="1"/>
      <c r="H166" s="1"/>
      <c r="I166" s="1"/>
      <c r="J166" s="1"/>
      <c r="K166" s="1"/>
    </row>
    <row r="167" ht="15.75" customHeight="1">
      <c r="A167" s="1"/>
      <c r="B167" s="8">
        <v>46232.0</v>
      </c>
      <c r="C167" s="3" t="str">
        <f t="shared" si="1"/>
        <v>Wednesday</v>
      </c>
      <c r="D167" s="9" t="s">
        <v>55</v>
      </c>
      <c r="E167" s="5"/>
      <c r="F167" s="5" t="s">
        <v>37</v>
      </c>
      <c r="G167" s="1"/>
      <c r="H167" s="1"/>
      <c r="I167" s="1"/>
      <c r="J167" s="1"/>
      <c r="K167" s="1"/>
    </row>
    <row r="168" ht="15.75" customHeight="1">
      <c r="A168" s="1"/>
      <c r="B168" s="8">
        <v>46232.0</v>
      </c>
      <c r="C168" s="3" t="str">
        <f t="shared" si="1"/>
        <v>Wednesday</v>
      </c>
      <c r="D168" s="4" t="s">
        <v>33</v>
      </c>
      <c r="E168" s="5"/>
      <c r="F168" s="5"/>
      <c r="G168" s="1"/>
      <c r="H168" s="1"/>
      <c r="I168" s="1"/>
      <c r="J168" s="1"/>
      <c r="K168" s="1"/>
    </row>
    <row r="169" ht="15.75" customHeight="1">
      <c r="A169" s="1"/>
      <c r="B169" s="8">
        <v>46233.0</v>
      </c>
      <c r="C169" s="3" t="str">
        <f t="shared" si="1"/>
        <v>Thursday</v>
      </c>
      <c r="D169" s="9" t="s">
        <v>55</v>
      </c>
      <c r="E169" s="5"/>
      <c r="F169" s="5" t="s">
        <v>37</v>
      </c>
      <c r="G169" s="1"/>
      <c r="H169" s="1"/>
      <c r="I169" s="1"/>
      <c r="J169" s="1"/>
      <c r="K169" s="1"/>
    </row>
    <row r="170" ht="15.75" customHeight="1">
      <c r="A170" s="1"/>
      <c r="B170" s="8">
        <v>46234.0</v>
      </c>
      <c r="C170" s="3" t="str">
        <f t="shared" si="1"/>
        <v>Friday</v>
      </c>
      <c r="D170" s="9" t="s">
        <v>55</v>
      </c>
      <c r="E170" s="5"/>
      <c r="F170" s="5" t="s">
        <v>37</v>
      </c>
      <c r="G170" s="1"/>
      <c r="H170" s="1"/>
      <c r="I170" s="1"/>
      <c r="J170" s="1"/>
      <c r="K170" s="1"/>
    </row>
    <row r="171" ht="15.75" customHeight="1">
      <c r="A171" s="1"/>
      <c r="B171" s="8">
        <v>46234.0</v>
      </c>
      <c r="C171" s="3" t="str">
        <f t="shared" si="1"/>
        <v>Friday</v>
      </c>
      <c r="D171" s="9" t="s">
        <v>38</v>
      </c>
      <c r="E171" s="5" t="s">
        <v>39</v>
      </c>
      <c r="F171" s="5" t="s">
        <v>21</v>
      </c>
      <c r="G171" s="1"/>
      <c r="H171" s="1"/>
      <c r="I171" s="1"/>
      <c r="J171" s="1"/>
      <c r="K171" s="1"/>
    </row>
    <row r="172" ht="15.75" customHeight="1">
      <c r="A172" s="1"/>
      <c r="B172" s="8">
        <v>46235.0</v>
      </c>
      <c r="C172" s="3" t="str">
        <f t="shared" si="1"/>
        <v>Saturday</v>
      </c>
      <c r="D172" s="9" t="s">
        <v>88</v>
      </c>
      <c r="E172" s="5" t="s">
        <v>16</v>
      </c>
      <c r="F172" s="5" t="s">
        <v>17</v>
      </c>
      <c r="G172" s="1"/>
      <c r="H172" s="1"/>
      <c r="I172" s="1"/>
      <c r="J172" s="1"/>
      <c r="K172" s="1"/>
    </row>
    <row r="173" ht="15.75" customHeight="1">
      <c r="A173" s="1"/>
      <c r="B173" s="8">
        <v>46236.0</v>
      </c>
      <c r="C173" s="3" t="str">
        <f t="shared" si="1"/>
        <v>Sunday</v>
      </c>
      <c r="D173" s="9" t="s">
        <v>89</v>
      </c>
      <c r="E173" s="5" t="s">
        <v>66</v>
      </c>
      <c r="F173" s="5" t="s">
        <v>23</v>
      </c>
      <c r="G173" s="1"/>
      <c r="H173" s="1"/>
      <c r="I173" s="1"/>
      <c r="J173" s="1"/>
      <c r="K173" s="1"/>
    </row>
    <row r="174" ht="15.75" customHeight="1">
      <c r="A174" s="1"/>
      <c r="B174" s="8">
        <v>46236.0</v>
      </c>
      <c r="C174" s="3" t="str">
        <f t="shared" si="1"/>
        <v>Sunday</v>
      </c>
      <c r="D174" s="4" t="s">
        <v>28</v>
      </c>
      <c r="E174" s="5"/>
      <c r="F174" s="5"/>
      <c r="G174" s="1"/>
      <c r="H174" s="1"/>
      <c r="I174" s="1"/>
      <c r="J174" s="1"/>
      <c r="K174" s="1"/>
    </row>
    <row r="175" ht="15.75" customHeight="1">
      <c r="A175" s="1"/>
      <c r="B175" s="8">
        <v>46239.0</v>
      </c>
      <c r="C175" s="3" t="str">
        <f t="shared" si="1"/>
        <v>Wednesday</v>
      </c>
      <c r="D175" s="4" t="s">
        <v>33</v>
      </c>
      <c r="E175" s="5"/>
      <c r="F175" s="5"/>
      <c r="G175" s="1"/>
      <c r="H175" s="1"/>
      <c r="I175" s="1"/>
      <c r="J175" s="1"/>
      <c r="K175" s="1"/>
    </row>
    <row r="176" ht="15.75" customHeight="1">
      <c r="A176" s="1"/>
      <c r="B176" s="8">
        <v>46241.0</v>
      </c>
      <c r="C176" s="3" t="str">
        <f t="shared" si="1"/>
        <v>Friday</v>
      </c>
      <c r="D176" s="9" t="s">
        <v>36</v>
      </c>
      <c r="E176" s="5" t="s">
        <v>16</v>
      </c>
      <c r="F176" s="5" t="s">
        <v>37</v>
      </c>
      <c r="G176" s="1"/>
      <c r="H176" s="1"/>
      <c r="I176" s="1"/>
      <c r="J176" s="1"/>
      <c r="K176" s="1"/>
    </row>
    <row r="177" ht="15.75" customHeight="1">
      <c r="A177" s="1"/>
      <c r="B177" s="8">
        <v>46241.0</v>
      </c>
      <c r="C177" s="3" t="str">
        <f t="shared" si="1"/>
        <v>Friday</v>
      </c>
      <c r="D177" s="9" t="s">
        <v>38</v>
      </c>
      <c r="E177" s="5" t="s">
        <v>39</v>
      </c>
      <c r="F177" s="5" t="s">
        <v>21</v>
      </c>
      <c r="G177" s="1"/>
      <c r="H177" s="1"/>
      <c r="I177" s="1"/>
      <c r="J177" s="1"/>
      <c r="K177" s="1"/>
    </row>
    <row r="178" ht="15.75" customHeight="1">
      <c r="A178" s="1"/>
      <c r="B178" s="8">
        <v>46242.0</v>
      </c>
      <c r="C178" s="3" t="str">
        <f t="shared" si="1"/>
        <v>Saturday</v>
      </c>
      <c r="D178" s="9" t="s">
        <v>90</v>
      </c>
      <c r="E178" s="5" t="s">
        <v>16</v>
      </c>
      <c r="F178" s="5" t="s">
        <v>29</v>
      </c>
      <c r="G178" s="1"/>
      <c r="H178" s="1"/>
      <c r="I178" s="1"/>
      <c r="J178" s="1"/>
      <c r="K178" s="1"/>
    </row>
    <row r="179" ht="15.75" customHeight="1">
      <c r="A179" s="1"/>
      <c r="B179" s="8">
        <v>46242.0</v>
      </c>
      <c r="C179" s="3" t="str">
        <f t="shared" si="1"/>
        <v>Saturday</v>
      </c>
      <c r="D179" s="9" t="s">
        <v>41</v>
      </c>
      <c r="E179" s="5"/>
      <c r="F179" s="5" t="s">
        <v>37</v>
      </c>
      <c r="G179" s="1"/>
      <c r="H179" s="1"/>
      <c r="I179" s="1"/>
      <c r="J179" s="1"/>
      <c r="K179" s="1"/>
    </row>
    <row r="180" ht="15.75" customHeight="1">
      <c r="A180" s="1"/>
      <c r="B180" s="14">
        <v>46243.0</v>
      </c>
      <c r="C180" s="3" t="str">
        <f t="shared" si="1"/>
        <v>Sunday</v>
      </c>
      <c r="D180" s="15" t="s">
        <v>91</v>
      </c>
      <c r="E180" s="5"/>
      <c r="F180" s="5" t="s">
        <v>35</v>
      </c>
      <c r="G180" s="1"/>
      <c r="H180" s="1"/>
      <c r="I180" s="1"/>
      <c r="J180" s="1"/>
      <c r="K180" s="1"/>
    </row>
    <row r="181" ht="15.75" customHeight="1">
      <c r="A181" s="1"/>
      <c r="B181" s="8">
        <v>46246.0</v>
      </c>
      <c r="C181" s="3" t="str">
        <f t="shared" si="1"/>
        <v>Wednesday</v>
      </c>
      <c r="D181" s="4" t="s">
        <v>33</v>
      </c>
      <c r="E181" s="5"/>
      <c r="F181" s="5"/>
      <c r="G181" s="1"/>
      <c r="H181" s="1"/>
      <c r="I181" s="1"/>
      <c r="J181" s="1"/>
      <c r="K181" s="1"/>
    </row>
    <row r="182" ht="15.75" customHeight="1">
      <c r="A182" s="1"/>
      <c r="B182" s="14">
        <v>46247.0</v>
      </c>
      <c r="C182" s="3" t="str">
        <f t="shared" si="1"/>
        <v>Thursday</v>
      </c>
      <c r="D182" s="15" t="s">
        <v>92</v>
      </c>
      <c r="E182" s="5"/>
      <c r="F182" s="5" t="s">
        <v>35</v>
      </c>
      <c r="G182" s="1"/>
      <c r="H182" s="1"/>
      <c r="I182" s="1"/>
      <c r="J182" s="1"/>
      <c r="K182" s="1"/>
    </row>
    <row r="183" ht="15.75" customHeight="1">
      <c r="A183" s="1"/>
      <c r="B183" s="8">
        <v>46248.0</v>
      </c>
      <c r="C183" s="3" t="str">
        <f t="shared" si="1"/>
        <v>Friday</v>
      </c>
      <c r="D183" s="9" t="s">
        <v>38</v>
      </c>
      <c r="E183" s="5" t="s">
        <v>39</v>
      </c>
      <c r="F183" s="5" t="s">
        <v>21</v>
      </c>
      <c r="G183" s="1"/>
      <c r="H183" s="1"/>
      <c r="I183" s="1"/>
      <c r="J183" s="1"/>
      <c r="K183" s="1"/>
    </row>
    <row r="184" ht="15.75" customHeight="1">
      <c r="A184" s="1"/>
      <c r="B184" s="8">
        <v>46249.0</v>
      </c>
      <c r="C184" s="3" t="str">
        <f t="shared" si="1"/>
        <v>Saturday</v>
      </c>
      <c r="D184" s="9" t="s">
        <v>93</v>
      </c>
      <c r="E184" s="5"/>
      <c r="F184" s="5" t="s">
        <v>37</v>
      </c>
      <c r="G184" s="1"/>
      <c r="H184" s="1"/>
      <c r="I184" s="1"/>
      <c r="J184" s="1"/>
      <c r="K184" s="1"/>
    </row>
    <row r="185" ht="15.75" customHeight="1">
      <c r="A185" s="1"/>
      <c r="B185" s="8">
        <v>46250.0</v>
      </c>
      <c r="C185" s="3" t="str">
        <f t="shared" si="1"/>
        <v>Sunday</v>
      </c>
      <c r="D185" s="9" t="s">
        <v>93</v>
      </c>
      <c r="E185" s="5"/>
      <c r="F185" s="5" t="s">
        <v>37</v>
      </c>
      <c r="G185" s="1"/>
      <c r="H185" s="1"/>
      <c r="I185" s="1"/>
      <c r="J185" s="1"/>
      <c r="K185" s="1"/>
    </row>
    <row r="186" ht="15.75" customHeight="1">
      <c r="A186" s="1"/>
      <c r="B186" s="8">
        <v>46250.0</v>
      </c>
      <c r="C186" s="3" t="str">
        <f t="shared" si="1"/>
        <v>Sunday</v>
      </c>
      <c r="D186" s="9" t="s">
        <v>44</v>
      </c>
      <c r="E186" s="5" t="s">
        <v>20</v>
      </c>
      <c r="F186" s="5" t="s">
        <v>21</v>
      </c>
      <c r="G186" s="1"/>
      <c r="H186" s="1"/>
      <c r="I186" s="1"/>
      <c r="J186" s="1"/>
      <c r="K186" s="1"/>
    </row>
    <row r="187" ht="15.75" customHeight="1">
      <c r="A187" s="1"/>
      <c r="B187" s="8">
        <v>46253.0</v>
      </c>
      <c r="C187" s="3" t="str">
        <f t="shared" si="1"/>
        <v>Wednesday</v>
      </c>
      <c r="D187" s="4" t="s">
        <v>33</v>
      </c>
      <c r="E187" s="5"/>
      <c r="F187" s="5"/>
      <c r="G187" s="1"/>
      <c r="H187" s="1"/>
      <c r="I187" s="1"/>
      <c r="J187" s="1"/>
      <c r="K187" s="1"/>
    </row>
    <row r="188" ht="15.75" customHeight="1">
      <c r="A188" s="1"/>
      <c r="B188" s="8">
        <v>46254.0</v>
      </c>
      <c r="C188" s="3" t="str">
        <f t="shared" si="1"/>
        <v>Thursday</v>
      </c>
      <c r="D188" s="9" t="s">
        <v>22</v>
      </c>
      <c r="E188" s="5" t="s">
        <v>23</v>
      </c>
      <c r="F188" s="5" t="s">
        <v>24</v>
      </c>
      <c r="G188" s="1"/>
      <c r="H188" s="1"/>
      <c r="I188" s="1"/>
      <c r="J188" s="1"/>
      <c r="K188" s="1"/>
    </row>
    <row r="189" ht="15.75" customHeight="1">
      <c r="A189" s="1"/>
      <c r="B189" s="8">
        <v>46255.0</v>
      </c>
      <c r="C189" s="3" t="str">
        <f t="shared" si="1"/>
        <v>Friday</v>
      </c>
      <c r="D189" s="9" t="s">
        <v>38</v>
      </c>
      <c r="E189" s="5" t="s">
        <v>39</v>
      </c>
      <c r="F189" s="5" t="s">
        <v>21</v>
      </c>
      <c r="G189" s="1"/>
      <c r="H189" s="1"/>
      <c r="I189" s="1"/>
      <c r="J189" s="1"/>
      <c r="K189" s="1"/>
    </row>
    <row r="190" ht="15.75" customHeight="1">
      <c r="A190" s="1"/>
      <c r="B190" s="8">
        <v>46256.0</v>
      </c>
      <c r="C190" s="3" t="str">
        <f t="shared" si="1"/>
        <v>Saturday</v>
      </c>
      <c r="D190" s="9" t="s">
        <v>94</v>
      </c>
      <c r="E190" s="5" t="s">
        <v>16</v>
      </c>
      <c r="F190" s="5" t="s">
        <v>21</v>
      </c>
      <c r="G190" s="1"/>
      <c r="H190" s="1"/>
      <c r="I190" s="1"/>
      <c r="J190" s="1"/>
      <c r="K190" s="1"/>
    </row>
    <row r="191" ht="15.75" customHeight="1">
      <c r="A191" s="1"/>
      <c r="B191" s="8">
        <v>46257.0</v>
      </c>
      <c r="C191" s="3" t="str">
        <f t="shared" si="1"/>
        <v>Sunday</v>
      </c>
      <c r="D191" s="9" t="s">
        <v>25</v>
      </c>
      <c r="E191" s="5"/>
      <c r="F191" s="5" t="s">
        <v>43</v>
      </c>
      <c r="G191" s="1"/>
      <c r="H191" s="1"/>
      <c r="I191" s="1"/>
      <c r="J191" s="1"/>
      <c r="K191" s="1"/>
    </row>
    <row r="192" ht="15.75" customHeight="1">
      <c r="A192" s="1"/>
      <c r="B192" s="8">
        <v>46258.0</v>
      </c>
      <c r="C192" s="3" t="str">
        <f t="shared" si="1"/>
        <v>Monday</v>
      </c>
      <c r="D192" s="9" t="s">
        <v>55</v>
      </c>
      <c r="E192" s="5"/>
      <c r="F192" s="5"/>
      <c r="G192" s="1"/>
      <c r="H192" s="1"/>
      <c r="I192" s="1"/>
      <c r="J192" s="1"/>
      <c r="K192" s="1"/>
    </row>
    <row r="193" ht="15.75" customHeight="1">
      <c r="A193" s="1"/>
      <c r="B193" s="8">
        <v>46259.0</v>
      </c>
      <c r="C193" s="3" t="str">
        <f t="shared" si="1"/>
        <v>Tuesday</v>
      </c>
      <c r="D193" s="9" t="s">
        <v>55</v>
      </c>
      <c r="E193" s="5"/>
      <c r="F193" s="5"/>
      <c r="G193" s="1"/>
      <c r="H193" s="1"/>
      <c r="I193" s="1"/>
      <c r="J193" s="1"/>
      <c r="K193" s="1"/>
    </row>
    <row r="194" ht="15.75" customHeight="1">
      <c r="A194" s="1"/>
      <c r="B194" s="8">
        <v>46260.0</v>
      </c>
      <c r="C194" s="3" t="str">
        <f t="shared" si="1"/>
        <v>Wednesday</v>
      </c>
      <c r="D194" s="4" t="s">
        <v>33</v>
      </c>
      <c r="E194" s="5"/>
      <c r="F194" s="5"/>
      <c r="G194" s="1"/>
      <c r="H194" s="1"/>
      <c r="I194" s="1"/>
      <c r="J194" s="1"/>
      <c r="K194" s="1"/>
    </row>
    <row r="195" ht="15.75" customHeight="1">
      <c r="A195" s="1"/>
      <c r="B195" s="8">
        <v>46260.0</v>
      </c>
      <c r="C195" s="3" t="str">
        <f t="shared" si="1"/>
        <v>Wednesday</v>
      </c>
      <c r="D195" s="9" t="s">
        <v>55</v>
      </c>
      <c r="E195" s="5"/>
      <c r="F195" s="5"/>
      <c r="G195" s="1"/>
      <c r="H195" s="1"/>
      <c r="I195" s="1"/>
      <c r="J195" s="1"/>
      <c r="K195" s="1"/>
    </row>
    <row r="196" ht="15.75" customHeight="1">
      <c r="A196" s="1"/>
      <c r="B196" s="8">
        <v>46261.0</v>
      </c>
      <c r="C196" s="3" t="str">
        <f t="shared" si="1"/>
        <v>Thursday</v>
      </c>
      <c r="D196" s="9" t="s">
        <v>55</v>
      </c>
      <c r="E196" s="5"/>
      <c r="F196" s="5"/>
      <c r="G196" s="1"/>
      <c r="H196" s="1"/>
      <c r="I196" s="1"/>
      <c r="J196" s="1"/>
      <c r="K196" s="1"/>
    </row>
    <row r="197" ht="15.75" customHeight="1">
      <c r="A197" s="1"/>
      <c r="B197" s="8">
        <v>46262.0</v>
      </c>
      <c r="C197" s="3" t="str">
        <f t="shared" si="1"/>
        <v>Friday</v>
      </c>
      <c r="D197" s="9" t="s">
        <v>38</v>
      </c>
      <c r="E197" s="5" t="s">
        <v>39</v>
      </c>
      <c r="F197" s="5" t="s">
        <v>21</v>
      </c>
      <c r="G197" s="1"/>
      <c r="H197" s="1"/>
      <c r="I197" s="1"/>
      <c r="J197" s="1"/>
      <c r="K197" s="1"/>
    </row>
    <row r="198" ht="15.75" customHeight="1">
      <c r="A198" s="1"/>
      <c r="B198" s="8">
        <v>46262.0</v>
      </c>
      <c r="C198" s="3" t="str">
        <f t="shared" si="1"/>
        <v>Friday</v>
      </c>
      <c r="D198" s="9" t="s">
        <v>55</v>
      </c>
      <c r="E198" s="5"/>
      <c r="F198" s="5"/>
      <c r="G198" s="1"/>
      <c r="H198" s="1"/>
      <c r="I198" s="1"/>
      <c r="J198" s="1"/>
      <c r="K198" s="1"/>
    </row>
    <row r="199" ht="15.75" customHeight="1">
      <c r="A199" s="1"/>
      <c r="B199" s="8">
        <v>46263.0</v>
      </c>
      <c r="C199" s="3" t="str">
        <f t="shared" si="1"/>
        <v>Saturday</v>
      </c>
      <c r="D199" s="9" t="s">
        <v>95</v>
      </c>
      <c r="E199" s="5" t="s">
        <v>16</v>
      </c>
      <c r="F199" s="5" t="s">
        <v>21</v>
      </c>
      <c r="G199" s="1"/>
      <c r="H199" s="1"/>
      <c r="I199" s="1"/>
      <c r="J199" s="1"/>
      <c r="K199" s="1"/>
    </row>
    <row r="200" ht="15.75" customHeight="1">
      <c r="A200" s="1"/>
      <c r="B200" s="8">
        <v>46264.0</v>
      </c>
      <c r="C200" s="3" t="str">
        <f t="shared" si="1"/>
        <v>Sunday</v>
      </c>
      <c r="D200" s="6" t="s">
        <v>96</v>
      </c>
      <c r="E200" s="5" t="s">
        <v>16</v>
      </c>
      <c r="F200" s="5" t="s">
        <v>43</v>
      </c>
      <c r="G200" s="1"/>
      <c r="H200" s="1"/>
      <c r="I200" s="1"/>
      <c r="J200" s="1"/>
      <c r="K200" s="1"/>
    </row>
    <row r="201" ht="15.75" customHeight="1">
      <c r="A201" s="1"/>
      <c r="B201" s="8">
        <v>46267.0</v>
      </c>
      <c r="C201" s="3" t="str">
        <f t="shared" si="1"/>
        <v>Wednesday</v>
      </c>
      <c r="D201" s="4" t="s">
        <v>33</v>
      </c>
      <c r="E201" s="5"/>
      <c r="F201" s="5"/>
      <c r="G201" s="1"/>
      <c r="H201" s="1"/>
      <c r="I201" s="1"/>
      <c r="J201" s="1"/>
      <c r="K201" s="1"/>
    </row>
    <row r="202" ht="15.75" customHeight="1">
      <c r="A202" s="1"/>
      <c r="B202" s="8">
        <v>46268.0</v>
      </c>
      <c r="C202" s="3" t="str">
        <f t="shared" si="1"/>
        <v>Thursday</v>
      </c>
      <c r="D202" s="9" t="s">
        <v>22</v>
      </c>
      <c r="E202" s="5" t="s">
        <v>23</v>
      </c>
      <c r="F202" s="5" t="s">
        <v>24</v>
      </c>
      <c r="G202" s="1"/>
      <c r="H202" s="1"/>
      <c r="I202" s="1"/>
      <c r="J202" s="1"/>
      <c r="K202" s="1"/>
    </row>
    <row r="203" ht="15.75" customHeight="1">
      <c r="A203" s="1"/>
      <c r="B203" s="8">
        <v>46269.0</v>
      </c>
      <c r="C203" s="3" t="str">
        <f t="shared" si="1"/>
        <v>Friday</v>
      </c>
      <c r="D203" s="9" t="s">
        <v>97</v>
      </c>
      <c r="E203" s="5" t="s">
        <v>16</v>
      </c>
      <c r="F203" s="5" t="s">
        <v>17</v>
      </c>
      <c r="G203" s="1"/>
      <c r="H203" s="1"/>
      <c r="I203" s="1"/>
      <c r="J203" s="1"/>
      <c r="K203" s="1"/>
    </row>
    <row r="204" ht="15.75" customHeight="1">
      <c r="A204" s="1"/>
      <c r="B204" s="8">
        <v>46269.0</v>
      </c>
      <c r="C204" s="3" t="str">
        <f t="shared" si="1"/>
        <v>Friday</v>
      </c>
      <c r="D204" s="9" t="s">
        <v>38</v>
      </c>
      <c r="E204" s="5" t="s">
        <v>39</v>
      </c>
      <c r="F204" s="5" t="s">
        <v>21</v>
      </c>
      <c r="G204" s="1"/>
      <c r="H204" s="1"/>
      <c r="I204" s="1"/>
      <c r="J204" s="1"/>
      <c r="K204" s="1"/>
    </row>
    <row r="205" ht="15.75" customHeight="1">
      <c r="A205" s="1"/>
      <c r="B205" s="8">
        <v>46271.0</v>
      </c>
      <c r="C205" s="3" t="str">
        <f t="shared" si="1"/>
        <v>Sunday</v>
      </c>
      <c r="D205" s="4" t="s">
        <v>28</v>
      </c>
      <c r="E205" s="5"/>
      <c r="F205" s="5"/>
      <c r="G205" s="1"/>
      <c r="H205" s="1"/>
      <c r="I205" s="1"/>
      <c r="J205" s="1"/>
      <c r="K205" s="1"/>
    </row>
    <row r="206" ht="15.75" customHeight="1">
      <c r="A206" s="1"/>
      <c r="B206" s="8">
        <v>46274.0</v>
      </c>
      <c r="C206" s="3" t="str">
        <f t="shared" si="1"/>
        <v>Wednesday</v>
      </c>
      <c r="D206" s="4" t="s">
        <v>33</v>
      </c>
      <c r="E206" s="5"/>
      <c r="F206" s="5"/>
      <c r="G206" s="1"/>
      <c r="H206" s="1"/>
      <c r="I206" s="1"/>
      <c r="J206" s="1"/>
      <c r="K206" s="1"/>
    </row>
    <row r="207" ht="15.75" customHeight="1">
      <c r="A207" s="1"/>
      <c r="B207" s="8">
        <v>46276.0</v>
      </c>
      <c r="C207" s="3" t="str">
        <f t="shared" si="1"/>
        <v>Friday</v>
      </c>
      <c r="D207" s="9" t="s">
        <v>98</v>
      </c>
      <c r="E207" s="5" t="s">
        <v>16</v>
      </c>
      <c r="F207" s="5" t="s">
        <v>17</v>
      </c>
      <c r="G207" s="1"/>
      <c r="H207" s="1"/>
      <c r="I207" s="1"/>
      <c r="J207" s="1"/>
      <c r="K207" s="1"/>
    </row>
    <row r="208" ht="15.75" customHeight="1">
      <c r="A208" s="1"/>
      <c r="B208" s="8">
        <v>46276.0</v>
      </c>
      <c r="C208" s="3" t="str">
        <f t="shared" si="1"/>
        <v>Friday</v>
      </c>
      <c r="D208" s="9" t="s">
        <v>38</v>
      </c>
      <c r="E208" s="5" t="s">
        <v>39</v>
      </c>
      <c r="F208" s="5" t="s">
        <v>21</v>
      </c>
      <c r="G208" s="1"/>
      <c r="H208" s="1"/>
      <c r="I208" s="1"/>
      <c r="J208" s="1"/>
      <c r="K208" s="1"/>
    </row>
    <row r="209" ht="15.75" customHeight="1">
      <c r="A209" s="1"/>
      <c r="B209" s="8">
        <v>46277.0</v>
      </c>
      <c r="C209" s="3" t="str">
        <f t="shared" si="1"/>
        <v>Saturday</v>
      </c>
      <c r="D209" s="9" t="s">
        <v>41</v>
      </c>
      <c r="E209" s="5"/>
      <c r="F209" s="5" t="s">
        <v>37</v>
      </c>
      <c r="G209" s="1"/>
      <c r="H209" s="1"/>
      <c r="I209" s="1"/>
      <c r="J209" s="1"/>
      <c r="K209" s="1"/>
    </row>
    <row r="210" ht="15.75" customHeight="1">
      <c r="A210" s="1"/>
      <c r="B210" s="8">
        <v>46277.0</v>
      </c>
      <c r="C210" s="3" t="str">
        <f t="shared" si="1"/>
        <v>Saturday</v>
      </c>
      <c r="D210" s="9" t="s">
        <v>21</v>
      </c>
      <c r="E210" s="5" t="s">
        <v>16</v>
      </c>
      <c r="F210" s="5" t="s">
        <v>21</v>
      </c>
      <c r="G210" s="1"/>
      <c r="H210" s="1"/>
      <c r="I210" s="1"/>
      <c r="J210" s="1"/>
      <c r="K210" s="1"/>
    </row>
    <row r="211" ht="15.75" customHeight="1">
      <c r="A211" s="1"/>
      <c r="B211" s="14">
        <v>46277.0</v>
      </c>
      <c r="C211" s="3" t="str">
        <f t="shared" si="1"/>
        <v>Saturday</v>
      </c>
      <c r="D211" s="15" t="s">
        <v>99</v>
      </c>
      <c r="E211" s="5"/>
      <c r="F211" s="5" t="s">
        <v>35</v>
      </c>
      <c r="G211" s="1"/>
      <c r="H211" s="1"/>
      <c r="I211" s="1"/>
      <c r="J211" s="1"/>
      <c r="K211" s="1"/>
    </row>
    <row r="212" ht="15.75" customHeight="1">
      <c r="A212" s="1"/>
      <c r="B212" s="8">
        <v>46278.0</v>
      </c>
      <c r="C212" s="3" t="str">
        <f t="shared" si="1"/>
        <v>Sunday</v>
      </c>
      <c r="D212" s="9" t="s">
        <v>100</v>
      </c>
      <c r="E212" s="5" t="s">
        <v>101</v>
      </c>
      <c r="F212" s="5" t="s">
        <v>21</v>
      </c>
      <c r="G212" s="1"/>
      <c r="H212" s="1"/>
      <c r="I212" s="1"/>
      <c r="J212" s="1"/>
      <c r="K212" s="1"/>
    </row>
    <row r="213" ht="15.75" customHeight="1">
      <c r="A213" s="1"/>
      <c r="B213" s="8">
        <v>46281.0</v>
      </c>
      <c r="C213" s="3" t="str">
        <f t="shared" si="1"/>
        <v>Wednesday</v>
      </c>
      <c r="D213" s="4" t="s">
        <v>33</v>
      </c>
      <c r="E213" s="5"/>
      <c r="F213" s="5"/>
      <c r="G213" s="1"/>
      <c r="H213" s="1"/>
      <c r="I213" s="1"/>
      <c r="J213" s="1"/>
      <c r="K213" s="1"/>
    </row>
    <row r="214" ht="15.75" customHeight="1">
      <c r="A214" s="1"/>
      <c r="B214" s="8">
        <v>46282.0</v>
      </c>
      <c r="C214" s="3" t="str">
        <f t="shared" si="1"/>
        <v>Thursday</v>
      </c>
      <c r="D214" s="9" t="s">
        <v>26</v>
      </c>
      <c r="E214" s="5" t="s">
        <v>27</v>
      </c>
      <c r="F214" s="5" t="s">
        <v>24</v>
      </c>
      <c r="G214" s="1"/>
      <c r="H214" s="1"/>
      <c r="I214" s="1"/>
      <c r="J214" s="1"/>
      <c r="K214" s="1"/>
    </row>
    <row r="215" ht="15.75" customHeight="1">
      <c r="A215" s="1"/>
      <c r="B215" s="8">
        <v>46283.0</v>
      </c>
      <c r="C215" s="3" t="str">
        <f t="shared" si="1"/>
        <v>Friday</v>
      </c>
      <c r="D215" s="9" t="s">
        <v>38</v>
      </c>
      <c r="E215" s="5" t="s">
        <v>39</v>
      </c>
      <c r="F215" s="5" t="s">
        <v>21</v>
      </c>
      <c r="G215" s="1"/>
      <c r="H215" s="1"/>
      <c r="I215" s="1"/>
      <c r="J215" s="1"/>
      <c r="K215" s="1"/>
    </row>
    <row r="216" ht="15.75" customHeight="1">
      <c r="A216" s="1"/>
      <c r="B216" s="8">
        <v>46284.0</v>
      </c>
      <c r="C216" s="3" t="str">
        <f t="shared" si="1"/>
        <v>Saturday</v>
      </c>
      <c r="D216" s="9" t="s">
        <v>71</v>
      </c>
      <c r="E216" s="5" t="s">
        <v>16</v>
      </c>
      <c r="F216" s="5" t="s">
        <v>37</v>
      </c>
      <c r="G216" s="1"/>
      <c r="H216" s="1"/>
      <c r="I216" s="1"/>
      <c r="J216" s="1"/>
      <c r="K216" s="1"/>
    </row>
    <row r="217" ht="15.75" customHeight="1">
      <c r="A217" s="1"/>
      <c r="B217" s="8">
        <v>46285.0</v>
      </c>
      <c r="C217" s="3" t="str">
        <f t="shared" si="1"/>
        <v>Sunday</v>
      </c>
      <c r="D217" s="9" t="s">
        <v>102</v>
      </c>
      <c r="E217" s="5"/>
      <c r="F217" s="5"/>
      <c r="G217" s="1"/>
      <c r="H217" s="1"/>
      <c r="I217" s="1"/>
      <c r="J217" s="1"/>
      <c r="K217" s="1"/>
    </row>
    <row r="218" ht="15.75" customHeight="1">
      <c r="A218" s="1"/>
      <c r="B218" s="8">
        <v>46285.0</v>
      </c>
      <c r="C218" s="3" t="str">
        <f t="shared" si="1"/>
        <v>Sunday</v>
      </c>
      <c r="D218" s="9" t="s">
        <v>103</v>
      </c>
      <c r="E218" s="5" t="s">
        <v>16</v>
      </c>
      <c r="F218" s="5" t="s">
        <v>29</v>
      </c>
      <c r="G218" s="1"/>
      <c r="H218" s="1"/>
      <c r="I218" s="1"/>
      <c r="J218" s="1"/>
      <c r="K218" s="1"/>
    </row>
    <row r="219" ht="15.75" customHeight="1">
      <c r="A219" s="1"/>
      <c r="B219" s="8">
        <v>46285.0</v>
      </c>
      <c r="C219" s="3" t="str">
        <f t="shared" si="1"/>
        <v>Sunday</v>
      </c>
      <c r="D219" s="9" t="s">
        <v>71</v>
      </c>
      <c r="E219" s="5" t="s">
        <v>16</v>
      </c>
      <c r="F219" s="5" t="s">
        <v>37</v>
      </c>
      <c r="G219" s="1"/>
      <c r="H219" s="1"/>
      <c r="I219" s="1"/>
      <c r="J219" s="1"/>
      <c r="K219" s="1"/>
    </row>
    <row r="220" ht="15.75" customHeight="1">
      <c r="A220" s="1"/>
      <c r="B220" s="8">
        <v>46286.0</v>
      </c>
      <c r="C220" s="3" t="str">
        <f t="shared" si="1"/>
        <v>Monday</v>
      </c>
      <c r="D220" s="9" t="s">
        <v>102</v>
      </c>
      <c r="E220" s="5"/>
      <c r="F220" s="5"/>
      <c r="G220" s="1"/>
      <c r="H220" s="1"/>
      <c r="I220" s="1"/>
      <c r="J220" s="1"/>
      <c r="K220" s="1"/>
    </row>
    <row r="221" ht="15.75" customHeight="1">
      <c r="A221" s="1"/>
      <c r="B221" s="8">
        <v>46287.0</v>
      </c>
      <c r="C221" s="3" t="str">
        <f t="shared" si="1"/>
        <v>Tuesday</v>
      </c>
      <c r="D221" s="9" t="s">
        <v>102</v>
      </c>
      <c r="E221" s="5"/>
      <c r="F221" s="5"/>
      <c r="G221" s="1"/>
      <c r="H221" s="1"/>
      <c r="I221" s="1"/>
      <c r="J221" s="1"/>
      <c r="K221" s="1"/>
    </row>
    <row r="222" ht="15.75" customHeight="1">
      <c r="A222" s="1"/>
      <c r="B222" s="8">
        <v>46288.0</v>
      </c>
      <c r="C222" s="3" t="str">
        <f t="shared" si="1"/>
        <v>Wednesday</v>
      </c>
      <c r="D222" s="9" t="s">
        <v>102</v>
      </c>
      <c r="E222" s="5"/>
      <c r="F222" s="5"/>
      <c r="G222" s="1"/>
      <c r="H222" s="1"/>
      <c r="I222" s="1"/>
      <c r="J222" s="1"/>
      <c r="K222" s="1"/>
    </row>
    <row r="223" ht="15.75" customHeight="1">
      <c r="A223" s="1"/>
      <c r="B223" s="8">
        <v>46288.0</v>
      </c>
      <c r="C223" s="3" t="str">
        <f t="shared" si="1"/>
        <v>Wednesday</v>
      </c>
      <c r="D223" s="4" t="s">
        <v>33</v>
      </c>
      <c r="E223" s="5"/>
      <c r="F223" s="5"/>
      <c r="G223" s="1"/>
      <c r="H223" s="1"/>
      <c r="I223" s="1"/>
      <c r="J223" s="1"/>
      <c r="K223" s="1"/>
    </row>
    <row r="224" ht="15.75" customHeight="1">
      <c r="A224" s="1"/>
      <c r="B224" s="8">
        <v>46289.0</v>
      </c>
      <c r="C224" s="3" t="str">
        <f t="shared" si="1"/>
        <v>Thursday</v>
      </c>
      <c r="D224" s="9" t="s">
        <v>102</v>
      </c>
      <c r="E224" s="5"/>
      <c r="F224" s="5"/>
      <c r="G224" s="1"/>
      <c r="H224" s="1"/>
      <c r="I224" s="1"/>
      <c r="J224" s="1"/>
      <c r="K224" s="1"/>
    </row>
    <row r="225" ht="15.75" customHeight="1">
      <c r="A225" s="1"/>
      <c r="B225" s="8">
        <v>46290.0</v>
      </c>
      <c r="C225" s="3" t="str">
        <f t="shared" si="1"/>
        <v>Friday</v>
      </c>
      <c r="D225" s="9" t="s">
        <v>102</v>
      </c>
      <c r="E225" s="5"/>
      <c r="F225" s="5"/>
      <c r="G225" s="1"/>
      <c r="H225" s="1"/>
      <c r="I225" s="1"/>
      <c r="J225" s="1"/>
      <c r="K225" s="1"/>
    </row>
    <row r="226" ht="15.75" customHeight="1">
      <c r="A226" s="1"/>
      <c r="B226" s="8">
        <v>46290.0</v>
      </c>
      <c r="C226" s="3" t="str">
        <f t="shared" si="1"/>
        <v>Friday</v>
      </c>
      <c r="D226" s="9" t="s">
        <v>38</v>
      </c>
      <c r="E226" s="5"/>
      <c r="F226" s="5"/>
      <c r="G226" s="1"/>
      <c r="H226" s="1"/>
      <c r="I226" s="1"/>
      <c r="J226" s="1"/>
      <c r="K226" s="1"/>
    </row>
    <row r="227" ht="15.75" customHeight="1">
      <c r="A227" s="1"/>
      <c r="B227" s="8">
        <v>46291.0</v>
      </c>
      <c r="C227" s="3" t="str">
        <f t="shared" si="1"/>
        <v>Saturday</v>
      </c>
      <c r="D227" s="9" t="s">
        <v>102</v>
      </c>
      <c r="E227" s="5"/>
      <c r="F227" s="5"/>
      <c r="G227" s="1"/>
      <c r="H227" s="1"/>
      <c r="I227" s="1"/>
      <c r="J227" s="1"/>
      <c r="K227" s="1"/>
    </row>
    <row r="228" ht="15.75" customHeight="1">
      <c r="A228" s="1"/>
      <c r="B228" s="8">
        <v>46291.0</v>
      </c>
      <c r="C228" s="3" t="str">
        <f t="shared" si="1"/>
        <v>Saturday</v>
      </c>
      <c r="D228" s="4" t="s">
        <v>104</v>
      </c>
      <c r="E228" s="5"/>
      <c r="F228" s="5"/>
      <c r="G228" s="1"/>
      <c r="H228" s="1"/>
      <c r="I228" s="1"/>
      <c r="J228" s="1"/>
      <c r="K228" s="1"/>
    </row>
    <row r="229" ht="15.75" customHeight="1">
      <c r="A229" s="1"/>
      <c r="B229" s="8">
        <v>46292.0</v>
      </c>
      <c r="C229" s="3" t="str">
        <f t="shared" si="1"/>
        <v>Sunday</v>
      </c>
      <c r="D229" s="9" t="s">
        <v>105</v>
      </c>
      <c r="E229" s="5"/>
      <c r="F229" s="5"/>
      <c r="G229" s="1"/>
      <c r="H229" s="1"/>
      <c r="I229" s="1"/>
      <c r="J229" s="1"/>
      <c r="K229" s="1"/>
    </row>
    <row r="230" ht="15.75" customHeight="1">
      <c r="A230" s="1"/>
      <c r="B230" s="8">
        <v>46292.0</v>
      </c>
      <c r="C230" s="3" t="str">
        <f t="shared" si="1"/>
        <v>Sunday</v>
      </c>
      <c r="D230" s="9" t="s">
        <v>25</v>
      </c>
      <c r="E230" s="5"/>
      <c r="F230" s="5" t="s">
        <v>43</v>
      </c>
      <c r="G230" s="1"/>
      <c r="H230" s="1"/>
      <c r="I230" s="1"/>
      <c r="J230" s="1"/>
      <c r="K230" s="1"/>
    </row>
    <row r="231" ht="15.75" customHeight="1">
      <c r="A231" s="1"/>
      <c r="B231" s="8">
        <v>46292.0</v>
      </c>
      <c r="C231" s="3" t="str">
        <f t="shared" si="1"/>
        <v>Sunday</v>
      </c>
      <c r="D231" s="4" t="s">
        <v>104</v>
      </c>
      <c r="E231" s="5"/>
      <c r="F231" s="5"/>
      <c r="G231" s="1"/>
      <c r="H231" s="1"/>
      <c r="I231" s="1"/>
      <c r="J231" s="1"/>
      <c r="K231" s="1"/>
    </row>
    <row r="232" ht="15.75" customHeight="1">
      <c r="A232" s="1"/>
      <c r="B232" s="8">
        <v>46293.0</v>
      </c>
      <c r="C232" s="3" t="str">
        <f t="shared" si="1"/>
        <v>Monday</v>
      </c>
      <c r="D232" s="9" t="s">
        <v>105</v>
      </c>
      <c r="E232" s="5"/>
      <c r="F232" s="5"/>
      <c r="G232" s="1"/>
      <c r="H232" s="1"/>
      <c r="I232" s="1"/>
      <c r="J232" s="1"/>
      <c r="K232" s="1"/>
    </row>
    <row r="233" ht="15.75" customHeight="1">
      <c r="A233" s="1"/>
      <c r="B233" s="8">
        <v>46294.0</v>
      </c>
      <c r="C233" s="3" t="str">
        <f t="shared" si="1"/>
        <v>Tuesday</v>
      </c>
      <c r="D233" s="9" t="s">
        <v>105</v>
      </c>
      <c r="E233" s="5"/>
      <c r="F233" s="5"/>
      <c r="G233" s="1"/>
      <c r="H233" s="1"/>
      <c r="I233" s="1"/>
      <c r="J233" s="1"/>
      <c r="K233" s="1"/>
    </row>
    <row r="234" ht="15.75" customHeight="1">
      <c r="A234" s="1"/>
      <c r="B234" s="8">
        <v>46295.0</v>
      </c>
      <c r="C234" s="3" t="str">
        <f t="shared" si="1"/>
        <v>Wednesday</v>
      </c>
      <c r="D234" s="9" t="s">
        <v>105</v>
      </c>
      <c r="E234" s="5"/>
      <c r="F234" s="5"/>
      <c r="G234" s="1"/>
      <c r="H234" s="1"/>
      <c r="I234" s="1"/>
      <c r="J234" s="1"/>
      <c r="K234" s="1"/>
    </row>
    <row r="235" ht="15.75" customHeight="1">
      <c r="A235" s="1"/>
      <c r="B235" s="8">
        <v>46295.0</v>
      </c>
      <c r="C235" s="3" t="str">
        <f t="shared" si="1"/>
        <v>Wednesday</v>
      </c>
      <c r="D235" s="9" t="s">
        <v>106</v>
      </c>
      <c r="E235" s="5" t="s">
        <v>20</v>
      </c>
      <c r="F235" s="5" t="s">
        <v>29</v>
      </c>
      <c r="G235" s="1"/>
      <c r="H235" s="1"/>
      <c r="I235" s="1"/>
      <c r="J235" s="1"/>
      <c r="K235" s="1"/>
    </row>
    <row r="236" ht="15.75" customHeight="1">
      <c r="A236" s="1"/>
      <c r="B236" s="8">
        <v>46295.0</v>
      </c>
      <c r="C236" s="3" t="str">
        <f t="shared" si="1"/>
        <v>Wednesday</v>
      </c>
      <c r="D236" s="4" t="s">
        <v>33</v>
      </c>
      <c r="E236" s="5"/>
      <c r="F236" s="5"/>
      <c r="G236" s="1"/>
      <c r="H236" s="1"/>
      <c r="I236" s="1"/>
      <c r="J236" s="1"/>
      <c r="K236" s="1"/>
    </row>
    <row r="237" ht="15.75" customHeight="1">
      <c r="A237" s="1"/>
      <c r="B237" s="8">
        <v>46296.0</v>
      </c>
      <c r="C237" s="3" t="str">
        <f t="shared" si="1"/>
        <v>Thursday</v>
      </c>
      <c r="D237" s="9" t="s">
        <v>105</v>
      </c>
      <c r="E237" s="5"/>
      <c r="F237" s="5"/>
      <c r="G237" s="1"/>
      <c r="H237" s="1"/>
      <c r="I237" s="1"/>
      <c r="J237" s="1"/>
      <c r="K237" s="1"/>
    </row>
    <row r="238" ht="15.75" customHeight="1">
      <c r="A238" s="1"/>
      <c r="B238" s="8">
        <v>46297.0</v>
      </c>
      <c r="C238" s="3" t="str">
        <f t="shared" si="1"/>
        <v>Friday</v>
      </c>
      <c r="D238" s="9" t="s">
        <v>105</v>
      </c>
      <c r="E238" s="5"/>
      <c r="F238" s="5"/>
      <c r="G238" s="1"/>
      <c r="H238" s="1"/>
      <c r="I238" s="1"/>
      <c r="J238" s="1"/>
      <c r="K238" s="1"/>
    </row>
    <row r="239" ht="15.75" customHeight="1">
      <c r="A239" s="1"/>
      <c r="B239" s="8">
        <v>46297.0</v>
      </c>
      <c r="C239" s="3" t="str">
        <f t="shared" si="1"/>
        <v>Friday</v>
      </c>
      <c r="D239" s="9" t="s">
        <v>36</v>
      </c>
      <c r="E239" s="5" t="s">
        <v>16</v>
      </c>
      <c r="F239" s="5" t="s">
        <v>37</v>
      </c>
      <c r="G239" s="1"/>
      <c r="H239" s="1"/>
      <c r="I239" s="1"/>
      <c r="J239" s="1"/>
      <c r="K239" s="1"/>
    </row>
    <row r="240" ht="15.75" customHeight="1">
      <c r="A240" s="1"/>
      <c r="B240" s="8">
        <v>46297.0</v>
      </c>
      <c r="C240" s="3" t="str">
        <f t="shared" si="1"/>
        <v>Friday</v>
      </c>
      <c r="D240" s="9" t="s">
        <v>38</v>
      </c>
      <c r="E240" s="5" t="s">
        <v>39</v>
      </c>
      <c r="F240" s="5" t="s">
        <v>21</v>
      </c>
      <c r="G240" s="1"/>
      <c r="H240" s="1"/>
      <c r="I240" s="1"/>
      <c r="J240" s="1"/>
      <c r="K240" s="1"/>
    </row>
    <row r="241" ht="15.75" customHeight="1">
      <c r="A241" s="1"/>
      <c r="B241" s="8">
        <v>46298.0</v>
      </c>
      <c r="C241" s="3" t="str">
        <f t="shared" si="1"/>
        <v>Saturday</v>
      </c>
      <c r="D241" s="9" t="s">
        <v>105</v>
      </c>
      <c r="E241" s="5"/>
      <c r="F241" s="5"/>
      <c r="G241" s="1"/>
      <c r="H241" s="1"/>
      <c r="I241" s="1"/>
      <c r="J241" s="1"/>
      <c r="K241" s="1"/>
    </row>
    <row r="242" ht="15.75" customHeight="1">
      <c r="A242" s="1"/>
      <c r="B242" s="8">
        <v>46298.0</v>
      </c>
      <c r="C242" s="3" t="str">
        <f t="shared" si="1"/>
        <v>Saturday</v>
      </c>
      <c r="D242" s="9" t="s">
        <v>88</v>
      </c>
      <c r="E242" s="5" t="s">
        <v>16</v>
      </c>
      <c r="F242" s="5" t="s">
        <v>17</v>
      </c>
      <c r="G242" s="1"/>
      <c r="H242" s="1"/>
      <c r="I242" s="1"/>
      <c r="J242" s="1"/>
      <c r="K242" s="1"/>
    </row>
    <row r="243" ht="15.75" customHeight="1">
      <c r="A243" s="1"/>
      <c r="B243" s="8">
        <v>46299.0</v>
      </c>
      <c r="C243" s="3" t="str">
        <f t="shared" si="1"/>
        <v>Sunday</v>
      </c>
      <c r="D243" s="9" t="s">
        <v>107</v>
      </c>
      <c r="E243" s="5"/>
      <c r="F243" s="5"/>
      <c r="G243" s="1"/>
      <c r="H243" s="1"/>
      <c r="I243" s="1"/>
      <c r="J243" s="1"/>
      <c r="K243" s="1"/>
    </row>
    <row r="244" ht="15.75" customHeight="1">
      <c r="A244" s="1"/>
      <c r="B244" s="8">
        <v>46299.0</v>
      </c>
      <c r="C244" s="3" t="str">
        <f t="shared" si="1"/>
        <v>Sunday</v>
      </c>
      <c r="D244" s="4" t="s">
        <v>28</v>
      </c>
      <c r="E244" s="5"/>
      <c r="F244" s="5"/>
      <c r="G244" s="1"/>
      <c r="H244" s="1"/>
      <c r="I244" s="1"/>
      <c r="J244" s="1"/>
      <c r="K244" s="1"/>
    </row>
    <row r="245" ht="15.75" customHeight="1">
      <c r="A245" s="1"/>
      <c r="B245" s="8">
        <v>46300.0</v>
      </c>
      <c r="C245" s="3" t="str">
        <f t="shared" si="1"/>
        <v>Monday</v>
      </c>
      <c r="D245" s="9" t="s">
        <v>107</v>
      </c>
      <c r="E245" s="5"/>
      <c r="F245" s="5"/>
      <c r="G245" s="1"/>
      <c r="H245" s="1"/>
      <c r="I245" s="1"/>
      <c r="J245" s="1"/>
      <c r="K245" s="1"/>
    </row>
    <row r="246" ht="15.75" customHeight="1">
      <c r="A246" s="1"/>
      <c r="B246" s="8">
        <v>46301.0</v>
      </c>
      <c r="C246" s="3" t="str">
        <f t="shared" si="1"/>
        <v>Tuesday</v>
      </c>
      <c r="D246" s="9" t="s">
        <v>107</v>
      </c>
      <c r="E246" s="5"/>
      <c r="F246" s="5"/>
      <c r="G246" s="1"/>
      <c r="H246" s="1"/>
      <c r="I246" s="1"/>
      <c r="J246" s="1"/>
      <c r="K246" s="1"/>
    </row>
    <row r="247" ht="15.75" customHeight="1">
      <c r="A247" s="1"/>
      <c r="B247" s="8">
        <v>46302.0</v>
      </c>
      <c r="C247" s="3" t="str">
        <f t="shared" si="1"/>
        <v>Wednesday</v>
      </c>
      <c r="D247" s="9" t="s">
        <v>107</v>
      </c>
      <c r="E247" s="5"/>
      <c r="F247" s="5"/>
      <c r="G247" s="1"/>
      <c r="H247" s="1"/>
      <c r="I247" s="1"/>
      <c r="J247" s="1"/>
      <c r="K247" s="1"/>
    </row>
    <row r="248" ht="15.75" customHeight="1">
      <c r="A248" s="1"/>
      <c r="B248" s="8">
        <v>46302.0</v>
      </c>
      <c r="C248" s="3" t="str">
        <f t="shared" si="1"/>
        <v>Wednesday</v>
      </c>
      <c r="D248" s="4" t="s">
        <v>33</v>
      </c>
      <c r="E248" s="5"/>
      <c r="F248" s="5"/>
      <c r="G248" s="1"/>
      <c r="H248" s="1"/>
      <c r="I248" s="1"/>
      <c r="J248" s="1"/>
      <c r="K248" s="1"/>
    </row>
    <row r="249" ht="15.75" customHeight="1">
      <c r="A249" s="1"/>
      <c r="B249" s="8">
        <v>46303.0</v>
      </c>
      <c r="C249" s="3" t="str">
        <f t="shared" si="1"/>
        <v>Thursday</v>
      </c>
      <c r="D249" s="9" t="s">
        <v>107</v>
      </c>
      <c r="E249" s="5"/>
      <c r="F249" s="5"/>
      <c r="G249" s="1"/>
      <c r="H249" s="1"/>
      <c r="I249" s="1"/>
      <c r="J249" s="1"/>
      <c r="K249" s="1"/>
    </row>
    <row r="250" ht="15.75" customHeight="1">
      <c r="A250" s="1"/>
      <c r="B250" s="14">
        <v>46303.0</v>
      </c>
      <c r="C250" s="3" t="str">
        <f t="shared" si="1"/>
        <v>Thursday</v>
      </c>
      <c r="D250" s="9" t="s">
        <v>34</v>
      </c>
      <c r="E250" s="5" t="s">
        <v>108</v>
      </c>
      <c r="F250" s="5" t="s">
        <v>35</v>
      </c>
      <c r="G250" s="1"/>
      <c r="H250" s="1"/>
      <c r="I250" s="1"/>
      <c r="J250" s="1"/>
      <c r="K250" s="1"/>
    </row>
    <row r="251" ht="15.75" customHeight="1">
      <c r="A251" s="1"/>
      <c r="B251" s="8">
        <v>46304.0</v>
      </c>
      <c r="C251" s="3" t="str">
        <f t="shared" si="1"/>
        <v>Friday</v>
      </c>
      <c r="D251" s="9" t="s">
        <v>107</v>
      </c>
      <c r="E251" s="5"/>
      <c r="F251" s="5"/>
      <c r="G251" s="1"/>
      <c r="H251" s="1"/>
      <c r="I251" s="1"/>
      <c r="J251" s="1"/>
      <c r="K251" s="1"/>
    </row>
    <row r="252" ht="15.75" customHeight="1">
      <c r="A252" s="1"/>
      <c r="B252" s="8">
        <v>46304.0</v>
      </c>
      <c r="C252" s="3" t="str">
        <f t="shared" si="1"/>
        <v>Friday</v>
      </c>
      <c r="D252" s="9" t="s">
        <v>38</v>
      </c>
      <c r="E252" s="5" t="s">
        <v>39</v>
      </c>
      <c r="F252" s="5" t="s">
        <v>21</v>
      </c>
      <c r="G252" s="1"/>
      <c r="H252" s="1"/>
      <c r="I252" s="1"/>
      <c r="J252" s="1"/>
      <c r="K252" s="1"/>
    </row>
    <row r="253" ht="15.75" customHeight="1">
      <c r="A253" s="1"/>
      <c r="B253" s="8">
        <v>46305.0</v>
      </c>
      <c r="C253" s="3" t="str">
        <f t="shared" si="1"/>
        <v>Saturday</v>
      </c>
      <c r="D253" s="9" t="s">
        <v>107</v>
      </c>
      <c r="E253" s="5"/>
      <c r="F253" s="5"/>
      <c r="G253" s="1"/>
      <c r="H253" s="1"/>
      <c r="I253" s="1"/>
      <c r="J253" s="1"/>
      <c r="K253" s="1"/>
    </row>
    <row r="254" ht="15.75" customHeight="1">
      <c r="A254" s="1"/>
      <c r="B254" s="8">
        <v>46305.0</v>
      </c>
      <c r="C254" s="3" t="str">
        <f t="shared" si="1"/>
        <v>Saturday</v>
      </c>
      <c r="D254" s="9" t="s">
        <v>41</v>
      </c>
      <c r="E254" s="5"/>
      <c r="F254" s="5" t="s">
        <v>37</v>
      </c>
      <c r="G254" s="1"/>
      <c r="H254" s="1"/>
      <c r="I254" s="1"/>
      <c r="J254" s="1"/>
      <c r="K254" s="1"/>
    </row>
    <row r="255" ht="15.75" customHeight="1">
      <c r="A255" s="1"/>
      <c r="B255" s="8">
        <v>46305.0</v>
      </c>
      <c r="C255" s="3" t="str">
        <f t="shared" si="1"/>
        <v>Saturday</v>
      </c>
      <c r="D255" s="9" t="s">
        <v>21</v>
      </c>
      <c r="E255" s="5" t="s">
        <v>16</v>
      </c>
      <c r="F255" s="5" t="s">
        <v>21</v>
      </c>
      <c r="G255" s="1"/>
      <c r="H255" s="1"/>
      <c r="I255" s="1"/>
      <c r="J255" s="1"/>
      <c r="K255" s="1"/>
    </row>
    <row r="256" ht="15.75" customHeight="1">
      <c r="A256" s="1"/>
      <c r="B256" s="8">
        <v>46306.0</v>
      </c>
      <c r="C256" s="3" t="str">
        <f t="shared" si="1"/>
        <v>Sunday</v>
      </c>
      <c r="D256" s="9" t="s">
        <v>109</v>
      </c>
      <c r="E256" s="5" t="s">
        <v>16</v>
      </c>
      <c r="F256" s="5" t="s">
        <v>29</v>
      </c>
      <c r="G256" s="1"/>
      <c r="H256" s="1"/>
      <c r="I256" s="1"/>
      <c r="J256" s="1"/>
      <c r="K256" s="1"/>
    </row>
    <row r="257" ht="15.75" customHeight="1">
      <c r="A257" s="1"/>
      <c r="B257" s="8">
        <v>46306.0</v>
      </c>
      <c r="C257" s="3" t="str">
        <f t="shared" si="1"/>
        <v>Sunday</v>
      </c>
      <c r="D257" s="9" t="s">
        <v>44</v>
      </c>
      <c r="E257" s="5" t="s">
        <v>20</v>
      </c>
      <c r="F257" s="5" t="s">
        <v>21</v>
      </c>
      <c r="G257" s="1"/>
      <c r="H257" s="1"/>
      <c r="I257" s="1"/>
      <c r="J257" s="1"/>
      <c r="K257" s="1"/>
    </row>
    <row r="258" ht="15.75" customHeight="1">
      <c r="A258" s="1"/>
      <c r="B258" s="8">
        <v>46307.0</v>
      </c>
      <c r="C258" s="3" t="str">
        <f t="shared" si="1"/>
        <v>Monday</v>
      </c>
      <c r="D258" s="9" t="s">
        <v>110</v>
      </c>
      <c r="E258" s="5" t="s">
        <v>27</v>
      </c>
      <c r="F258" s="5" t="s">
        <v>24</v>
      </c>
      <c r="G258" s="1"/>
      <c r="H258" s="1"/>
      <c r="I258" s="1"/>
      <c r="J258" s="1"/>
      <c r="K258" s="1"/>
    </row>
    <row r="259" ht="15.75" customHeight="1">
      <c r="A259" s="1"/>
      <c r="B259" s="8">
        <v>46309.0</v>
      </c>
      <c r="C259" s="3" t="str">
        <f t="shared" si="1"/>
        <v>Wednesday</v>
      </c>
      <c r="D259" s="4" t="s">
        <v>33</v>
      </c>
      <c r="E259" s="5"/>
      <c r="F259" s="5"/>
      <c r="G259" s="1"/>
      <c r="H259" s="1"/>
      <c r="I259" s="1"/>
      <c r="J259" s="1"/>
      <c r="K259" s="1"/>
    </row>
    <row r="260" ht="15.75" customHeight="1">
      <c r="A260" s="1"/>
      <c r="B260" s="8">
        <v>46310.0</v>
      </c>
      <c r="C260" s="3" t="str">
        <f t="shared" si="1"/>
        <v>Thursday</v>
      </c>
      <c r="D260" s="9" t="s">
        <v>111</v>
      </c>
      <c r="E260" s="5" t="s">
        <v>23</v>
      </c>
      <c r="F260" s="5" t="s">
        <v>24</v>
      </c>
      <c r="G260" s="1"/>
      <c r="H260" s="1"/>
      <c r="I260" s="1"/>
      <c r="J260" s="1"/>
      <c r="K260" s="1"/>
    </row>
    <row r="261" ht="15.75" customHeight="1">
      <c r="A261" s="1"/>
      <c r="B261" s="8">
        <v>46310.0</v>
      </c>
      <c r="C261" s="3" t="str">
        <f t="shared" si="1"/>
        <v>Thursday</v>
      </c>
      <c r="D261" s="9" t="s">
        <v>22</v>
      </c>
      <c r="E261" s="5" t="s">
        <v>20</v>
      </c>
      <c r="F261" s="5" t="s">
        <v>29</v>
      </c>
      <c r="G261" s="1"/>
      <c r="H261" s="1"/>
      <c r="I261" s="1"/>
      <c r="J261" s="1"/>
      <c r="K261" s="1"/>
    </row>
    <row r="262" ht="15.75" customHeight="1">
      <c r="A262" s="1"/>
      <c r="B262" s="8">
        <v>46311.0</v>
      </c>
      <c r="C262" s="3" t="str">
        <f t="shared" si="1"/>
        <v>Friday</v>
      </c>
      <c r="D262" s="9" t="s">
        <v>112</v>
      </c>
      <c r="E262" s="5"/>
      <c r="F262" s="5" t="s">
        <v>37</v>
      </c>
      <c r="G262" s="1"/>
      <c r="H262" s="1"/>
      <c r="I262" s="1"/>
      <c r="J262" s="1"/>
      <c r="K262" s="1"/>
    </row>
    <row r="263" ht="15.75" customHeight="1">
      <c r="A263" s="1"/>
      <c r="B263" s="8">
        <v>46311.0</v>
      </c>
      <c r="C263" s="3" t="str">
        <f t="shared" si="1"/>
        <v>Friday</v>
      </c>
      <c r="D263" s="9" t="s">
        <v>38</v>
      </c>
      <c r="E263" s="5" t="s">
        <v>39</v>
      </c>
      <c r="F263" s="5" t="s">
        <v>21</v>
      </c>
      <c r="G263" s="1"/>
      <c r="H263" s="1"/>
      <c r="I263" s="1"/>
      <c r="J263" s="1"/>
      <c r="K263" s="1"/>
    </row>
    <row r="264" ht="15.75" customHeight="1">
      <c r="A264" s="1"/>
      <c r="B264" s="8">
        <v>46312.0</v>
      </c>
      <c r="C264" s="3" t="str">
        <f t="shared" si="1"/>
        <v>Saturday</v>
      </c>
      <c r="D264" s="9" t="s">
        <v>113</v>
      </c>
      <c r="E264" s="5"/>
      <c r="F264" s="5"/>
      <c r="G264" s="1"/>
      <c r="H264" s="1"/>
      <c r="I264" s="1"/>
      <c r="J264" s="1"/>
      <c r="K264" s="1"/>
    </row>
    <row r="265" ht="15.75" customHeight="1">
      <c r="A265" s="1"/>
      <c r="B265" s="8">
        <v>46313.0</v>
      </c>
      <c r="C265" s="3" t="str">
        <f t="shared" si="1"/>
        <v>Sunday</v>
      </c>
      <c r="D265" s="9" t="s">
        <v>113</v>
      </c>
      <c r="E265" s="5"/>
      <c r="F265" s="5"/>
      <c r="G265" s="1"/>
      <c r="H265" s="1"/>
      <c r="I265" s="1"/>
      <c r="J265" s="1"/>
      <c r="K265" s="1"/>
    </row>
    <row r="266" ht="15.75" customHeight="1">
      <c r="A266" s="1"/>
      <c r="B266" s="14">
        <v>46313.0</v>
      </c>
      <c r="C266" s="3" t="str">
        <f t="shared" si="1"/>
        <v>Sunday</v>
      </c>
      <c r="D266" s="15" t="s">
        <v>114</v>
      </c>
      <c r="E266" s="5"/>
      <c r="F266" s="5" t="s">
        <v>35</v>
      </c>
      <c r="G266" s="1"/>
      <c r="H266" s="1"/>
      <c r="I266" s="1"/>
      <c r="J266" s="1"/>
      <c r="K266" s="1"/>
    </row>
    <row r="267" ht="15.75" customHeight="1">
      <c r="A267" s="1"/>
      <c r="B267" s="8">
        <v>46316.0</v>
      </c>
      <c r="C267" s="3" t="str">
        <f t="shared" si="1"/>
        <v>Wednesday</v>
      </c>
      <c r="D267" s="4" t="s">
        <v>33</v>
      </c>
      <c r="E267" s="5"/>
      <c r="F267" s="5"/>
      <c r="G267" s="1"/>
      <c r="H267" s="1"/>
      <c r="I267" s="1"/>
      <c r="J267" s="1"/>
      <c r="K267" s="1"/>
    </row>
    <row r="268" ht="15.75" customHeight="1">
      <c r="A268" s="1"/>
      <c r="B268" s="8">
        <v>46317.0</v>
      </c>
      <c r="C268" s="3" t="str">
        <f t="shared" si="1"/>
        <v>Thursday</v>
      </c>
      <c r="D268" s="9" t="s">
        <v>26</v>
      </c>
      <c r="E268" s="5" t="s">
        <v>27</v>
      </c>
      <c r="F268" s="5" t="s">
        <v>24</v>
      </c>
      <c r="G268" s="1"/>
      <c r="H268" s="1"/>
      <c r="I268" s="1"/>
      <c r="J268" s="1"/>
      <c r="K268" s="1"/>
    </row>
    <row r="269" ht="15.75" customHeight="1">
      <c r="A269" s="1"/>
      <c r="B269" s="8">
        <v>46318.0</v>
      </c>
      <c r="C269" s="3" t="str">
        <f t="shared" si="1"/>
        <v>Friday</v>
      </c>
      <c r="D269" s="9" t="s">
        <v>38</v>
      </c>
      <c r="E269" s="5" t="s">
        <v>39</v>
      </c>
      <c r="F269" s="5" t="s">
        <v>21</v>
      </c>
      <c r="G269" s="1"/>
      <c r="H269" s="1"/>
      <c r="I269" s="1"/>
      <c r="J269" s="1"/>
      <c r="K269" s="1"/>
    </row>
    <row r="270" ht="15.75" customHeight="1">
      <c r="A270" s="1"/>
      <c r="B270" s="8">
        <v>46319.0</v>
      </c>
      <c r="C270" s="3" t="str">
        <f t="shared" si="1"/>
        <v>Saturday</v>
      </c>
      <c r="D270" s="4" t="s">
        <v>115</v>
      </c>
      <c r="E270" s="5"/>
      <c r="F270" s="5"/>
      <c r="G270" s="1"/>
      <c r="H270" s="1"/>
      <c r="I270" s="1"/>
      <c r="J270" s="1"/>
      <c r="K270" s="1"/>
    </row>
    <row r="271" ht="15.75" customHeight="1">
      <c r="A271" s="1"/>
      <c r="B271" s="14">
        <v>46320.0</v>
      </c>
      <c r="C271" s="3" t="str">
        <f t="shared" si="1"/>
        <v>Sunday</v>
      </c>
      <c r="D271" s="9" t="s">
        <v>25</v>
      </c>
      <c r="E271" s="5"/>
      <c r="F271" s="5"/>
      <c r="G271" s="1"/>
      <c r="H271" s="1"/>
      <c r="I271" s="1"/>
      <c r="J271" s="1"/>
      <c r="K271" s="1"/>
    </row>
    <row r="272" ht="15.75" customHeight="1">
      <c r="A272" s="1"/>
      <c r="B272" s="8">
        <v>46323.0</v>
      </c>
      <c r="C272" s="3" t="str">
        <f t="shared" si="1"/>
        <v>Wednesday</v>
      </c>
      <c r="D272" s="4" t="s">
        <v>33</v>
      </c>
      <c r="E272" s="5"/>
      <c r="F272" s="5"/>
      <c r="G272" s="1"/>
      <c r="H272" s="1"/>
      <c r="I272" s="1"/>
      <c r="J272" s="1"/>
      <c r="K272" s="1"/>
    </row>
    <row r="273" ht="15.75" customHeight="1">
      <c r="A273" s="1"/>
      <c r="B273" s="8">
        <v>46325.0</v>
      </c>
      <c r="C273" s="3" t="str">
        <f t="shared" si="1"/>
        <v>Friday</v>
      </c>
      <c r="D273" s="9" t="s">
        <v>38</v>
      </c>
      <c r="E273" s="5" t="s">
        <v>39</v>
      </c>
      <c r="F273" s="5" t="s">
        <v>21</v>
      </c>
      <c r="G273" s="1"/>
      <c r="H273" s="1"/>
      <c r="I273" s="1"/>
      <c r="J273" s="1"/>
      <c r="K273" s="1"/>
    </row>
    <row r="274" ht="15.75" customHeight="1">
      <c r="A274" s="1"/>
      <c r="B274" s="8">
        <v>46326.0</v>
      </c>
      <c r="C274" s="3" t="str">
        <f t="shared" si="1"/>
        <v>Saturday</v>
      </c>
      <c r="D274" s="9" t="s">
        <v>116</v>
      </c>
      <c r="E274" s="5" t="s">
        <v>66</v>
      </c>
      <c r="F274" s="5" t="s">
        <v>23</v>
      </c>
      <c r="G274" s="1"/>
      <c r="H274" s="1"/>
      <c r="I274" s="1"/>
      <c r="J274" s="1"/>
      <c r="K274" s="1"/>
    </row>
    <row r="275" ht="15.75" customHeight="1">
      <c r="A275" s="1"/>
      <c r="B275" s="8">
        <v>46327.0</v>
      </c>
      <c r="C275" s="3" t="str">
        <f t="shared" si="1"/>
        <v>Sunday</v>
      </c>
      <c r="D275" s="4" t="s">
        <v>28</v>
      </c>
      <c r="E275" s="5"/>
      <c r="F275" s="5"/>
      <c r="G275" s="1"/>
      <c r="H275" s="1"/>
      <c r="I275" s="1"/>
      <c r="J275" s="1"/>
      <c r="K275" s="1"/>
    </row>
    <row r="276" ht="15.75" customHeight="1">
      <c r="A276" s="1"/>
      <c r="B276" s="8">
        <v>46328.0</v>
      </c>
      <c r="C276" s="3" t="str">
        <f t="shared" si="1"/>
        <v>Monday</v>
      </c>
      <c r="D276" s="9" t="s">
        <v>117</v>
      </c>
      <c r="E276" s="5" t="s">
        <v>27</v>
      </c>
      <c r="F276" s="5" t="s">
        <v>24</v>
      </c>
      <c r="G276" s="1"/>
      <c r="H276" s="1"/>
      <c r="I276" s="1"/>
      <c r="J276" s="1"/>
      <c r="K276" s="1"/>
    </row>
    <row r="277" ht="15.75" customHeight="1">
      <c r="A277" s="1"/>
      <c r="B277" s="8">
        <v>46330.0</v>
      </c>
      <c r="C277" s="3" t="str">
        <f t="shared" si="1"/>
        <v>Wednesday</v>
      </c>
      <c r="D277" s="4" t="s">
        <v>33</v>
      </c>
      <c r="E277" s="5"/>
      <c r="F277" s="5"/>
      <c r="G277" s="1"/>
      <c r="H277" s="1"/>
      <c r="I277" s="1"/>
      <c r="J277" s="1"/>
      <c r="K277" s="1"/>
    </row>
    <row r="278" ht="15.75" customHeight="1">
      <c r="A278" s="1"/>
      <c r="B278" s="8">
        <v>46332.0</v>
      </c>
      <c r="C278" s="3" t="str">
        <f t="shared" si="1"/>
        <v>Friday</v>
      </c>
      <c r="D278" s="9" t="s">
        <v>36</v>
      </c>
      <c r="E278" s="5" t="s">
        <v>16</v>
      </c>
      <c r="F278" s="5" t="s">
        <v>37</v>
      </c>
      <c r="G278" s="1"/>
      <c r="H278" s="1"/>
      <c r="I278" s="1"/>
      <c r="J278" s="1"/>
      <c r="K278" s="1"/>
    </row>
    <row r="279" ht="15.75" customHeight="1">
      <c r="A279" s="1"/>
      <c r="B279" s="8">
        <v>46332.0</v>
      </c>
      <c r="C279" s="3" t="str">
        <f t="shared" si="1"/>
        <v>Friday</v>
      </c>
      <c r="D279" s="9" t="s">
        <v>38</v>
      </c>
      <c r="E279" s="5" t="s">
        <v>39</v>
      </c>
      <c r="F279" s="5" t="s">
        <v>21</v>
      </c>
      <c r="G279" s="1"/>
      <c r="H279" s="1"/>
      <c r="I279" s="1"/>
      <c r="J279" s="1"/>
      <c r="K279" s="1"/>
    </row>
    <row r="280" ht="15.75" customHeight="1">
      <c r="A280" s="1"/>
      <c r="B280" s="8">
        <v>46333.0</v>
      </c>
      <c r="C280" s="3" t="str">
        <f t="shared" si="1"/>
        <v>Saturday</v>
      </c>
      <c r="D280" s="9" t="s">
        <v>21</v>
      </c>
      <c r="E280" s="5" t="s">
        <v>16</v>
      </c>
      <c r="F280" s="5" t="s">
        <v>21</v>
      </c>
      <c r="G280" s="1"/>
      <c r="H280" s="1"/>
      <c r="I280" s="1"/>
      <c r="J280" s="1"/>
      <c r="K280" s="1"/>
    </row>
    <row r="281" ht="15.75" customHeight="1">
      <c r="A281" s="1"/>
      <c r="B281" s="8">
        <v>46334.0</v>
      </c>
      <c r="C281" s="3" t="str">
        <f t="shared" si="1"/>
        <v>Sunday</v>
      </c>
      <c r="D281" s="9" t="s">
        <v>118</v>
      </c>
      <c r="E281" s="5"/>
      <c r="F281" s="5" t="s">
        <v>69</v>
      </c>
      <c r="G281" s="1"/>
      <c r="H281" s="1"/>
      <c r="I281" s="1"/>
      <c r="J281" s="1"/>
      <c r="K281" s="1"/>
    </row>
    <row r="282" ht="15.75" customHeight="1">
      <c r="A282" s="1"/>
      <c r="B282" s="8">
        <v>46334.0</v>
      </c>
      <c r="C282" s="3" t="str">
        <f t="shared" si="1"/>
        <v>Sunday</v>
      </c>
      <c r="D282" s="9" t="s">
        <v>44</v>
      </c>
      <c r="E282" s="5" t="s">
        <v>20</v>
      </c>
      <c r="F282" s="5" t="s">
        <v>21</v>
      </c>
      <c r="G282" s="1"/>
      <c r="H282" s="1"/>
      <c r="I282" s="1"/>
      <c r="J282" s="1"/>
      <c r="K282" s="1"/>
    </row>
    <row r="283" ht="15.75" customHeight="1">
      <c r="A283" s="1"/>
      <c r="B283" s="8">
        <v>46337.0</v>
      </c>
      <c r="C283" s="3" t="str">
        <f t="shared" si="1"/>
        <v>Wednesday</v>
      </c>
      <c r="D283" s="4" t="s">
        <v>33</v>
      </c>
      <c r="E283" s="5"/>
      <c r="F283" s="5"/>
      <c r="G283" s="1"/>
      <c r="H283" s="1"/>
      <c r="I283" s="1"/>
      <c r="J283" s="1"/>
      <c r="K283" s="1"/>
    </row>
    <row r="284" ht="15.75" customHeight="1">
      <c r="A284" s="1"/>
      <c r="B284" s="8">
        <v>46338.0</v>
      </c>
      <c r="C284" s="3" t="str">
        <f t="shared" si="1"/>
        <v>Thursday</v>
      </c>
      <c r="D284" s="9" t="s">
        <v>22</v>
      </c>
      <c r="E284" s="5" t="s">
        <v>23</v>
      </c>
      <c r="F284" s="5" t="s">
        <v>24</v>
      </c>
      <c r="G284" s="1"/>
      <c r="H284" s="1"/>
      <c r="I284" s="1"/>
      <c r="J284" s="1"/>
      <c r="K284" s="1"/>
    </row>
    <row r="285" ht="15.75" customHeight="1">
      <c r="A285" s="1"/>
      <c r="B285" s="8">
        <v>46339.0</v>
      </c>
      <c r="C285" s="3" t="str">
        <f t="shared" si="1"/>
        <v>Friday</v>
      </c>
      <c r="D285" s="9" t="s">
        <v>38</v>
      </c>
      <c r="E285" s="5" t="s">
        <v>39</v>
      </c>
      <c r="F285" s="5" t="s">
        <v>21</v>
      </c>
      <c r="G285" s="1"/>
      <c r="H285" s="1"/>
      <c r="I285" s="1"/>
      <c r="J285" s="1"/>
      <c r="K285" s="1"/>
    </row>
    <row r="286" ht="15.75" customHeight="1">
      <c r="A286" s="1"/>
      <c r="B286" s="8">
        <v>46340.0</v>
      </c>
      <c r="C286" s="3" t="str">
        <f t="shared" si="1"/>
        <v>Saturday</v>
      </c>
      <c r="D286" s="9" t="s">
        <v>119</v>
      </c>
      <c r="E286" s="5" t="s">
        <v>66</v>
      </c>
      <c r="F286" s="5" t="s">
        <v>23</v>
      </c>
      <c r="G286" s="1"/>
      <c r="H286" s="1"/>
      <c r="I286" s="1"/>
      <c r="J286" s="1"/>
      <c r="K286" s="1"/>
    </row>
    <row r="287" ht="15.75" customHeight="1">
      <c r="A287" s="1"/>
      <c r="B287" s="8">
        <v>46344.0</v>
      </c>
      <c r="C287" s="3" t="str">
        <f t="shared" si="1"/>
        <v>Wednesday</v>
      </c>
      <c r="D287" s="4" t="s">
        <v>33</v>
      </c>
      <c r="E287" s="5"/>
      <c r="F287" s="5"/>
      <c r="G287" s="1"/>
      <c r="H287" s="1"/>
      <c r="I287" s="1"/>
      <c r="J287" s="1"/>
      <c r="K287" s="1"/>
    </row>
    <row r="288" ht="15.75" customHeight="1">
      <c r="A288" s="1"/>
      <c r="B288" s="8">
        <v>46346.0</v>
      </c>
      <c r="C288" s="3" t="str">
        <f t="shared" si="1"/>
        <v>Friday</v>
      </c>
      <c r="D288" s="9" t="s">
        <v>38</v>
      </c>
      <c r="E288" s="5" t="s">
        <v>39</v>
      </c>
      <c r="F288" s="5" t="s">
        <v>21</v>
      </c>
      <c r="G288" s="1"/>
      <c r="H288" s="1"/>
      <c r="I288" s="1"/>
      <c r="J288" s="1"/>
      <c r="K288" s="1"/>
    </row>
    <row r="289" ht="15.75" customHeight="1">
      <c r="A289" s="1"/>
      <c r="B289" s="8">
        <v>46347.0</v>
      </c>
      <c r="C289" s="3" t="str">
        <f t="shared" si="1"/>
        <v>Saturday</v>
      </c>
      <c r="D289" s="9" t="s">
        <v>41</v>
      </c>
      <c r="E289" s="5" t="s">
        <v>16</v>
      </c>
      <c r="F289" s="5" t="s">
        <v>43</v>
      </c>
      <c r="G289" s="1"/>
      <c r="H289" s="1"/>
      <c r="I289" s="1"/>
      <c r="J289" s="1"/>
      <c r="K289" s="1"/>
    </row>
    <row r="290" ht="15.75" customHeight="1">
      <c r="A290" s="1"/>
      <c r="B290" s="8">
        <v>46349.0</v>
      </c>
      <c r="C290" s="3" t="str">
        <f t="shared" si="1"/>
        <v>Monday</v>
      </c>
      <c r="D290" s="9" t="s">
        <v>55</v>
      </c>
      <c r="E290" s="5"/>
      <c r="F290" s="5" t="s">
        <v>37</v>
      </c>
      <c r="G290" s="1"/>
      <c r="H290" s="1"/>
      <c r="I290" s="1"/>
      <c r="J290" s="1"/>
      <c r="K290" s="1"/>
    </row>
    <row r="291" ht="15.75" customHeight="1">
      <c r="A291" s="1"/>
      <c r="B291" s="8">
        <v>46350.0</v>
      </c>
      <c r="C291" s="3" t="str">
        <f t="shared" si="1"/>
        <v>Tuesday</v>
      </c>
      <c r="D291" s="9" t="s">
        <v>55</v>
      </c>
      <c r="E291" s="5"/>
      <c r="F291" s="5" t="s">
        <v>37</v>
      </c>
      <c r="G291" s="1"/>
      <c r="H291" s="1"/>
      <c r="I291" s="1"/>
      <c r="J291" s="1"/>
      <c r="K291" s="1"/>
    </row>
    <row r="292" ht="15.75" customHeight="1">
      <c r="A292" s="1"/>
      <c r="B292" s="8">
        <v>46351.0</v>
      </c>
      <c r="C292" s="3" t="str">
        <f t="shared" si="1"/>
        <v>Wednesday</v>
      </c>
      <c r="D292" s="9" t="s">
        <v>55</v>
      </c>
      <c r="E292" s="5"/>
      <c r="F292" s="5" t="s">
        <v>37</v>
      </c>
      <c r="G292" s="1"/>
      <c r="H292" s="1"/>
      <c r="I292" s="1"/>
      <c r="J292" s="1"/>
      <c r="K292" s="1"/>
    </row>
    <row r="293" ht="15.75" customHeight="1">
      <c r="A293" s="1"/>
      <c r="B293" s="8">
        <v>46351.0</v>
      </c>
      <c r="C293" s="3" t="str">
        <f t="shared" si="1"/>
        <v>Wednesday</v>
      </c>
      <c r="D293" s="4" t="s">
        <v>33</v>
      </c>
      <c r="E293" s="5"/>
      <c r="F293" s="5"/>
      <c r="G293" s="1"/>
      <c r="H293" s="1"/>
      <c r="I293" s="1"/>
      <c r="J293" s="1"/>
      <c r="K293" s="1"/>
    </row>
    <row r="294" ht="15.75" customHeight="1">
      <c r="A294" s="1"/>
      <c r="B294" s="8">
        <v>46352.0</v>
      </c>
      <c r="C294" s="3" t="str">
        <f t="shared" si="1"/>
        <v>Thursday</v>
      </c>
      <c r="D294" s="9" t="s">
        <v>55</v>
      </c>
      <c r="E294" s="5"/>
      <c r="F294" s="5" t="s">
        <v>37</v>
      </c>
      <c r="G294" s="1"/>
      <c r="H294" s="1"/>
      <c r="I294" s="1"/>
      <c r="J294" s="1"/>
      <c r="K294" s="1"/>
    </row>
    <row r="295" ht="15.75" customHeight="1">
      <c r="A295" s="1"/>
      <c r="B295" s="8">
        <v>46352.0</v>
      </c>
      <c r="C295" s="3" t="str">
        <f t="shared" si="1"/>
        <v>Thursday</v>
      </c>
      <c r="D295" s="9" t="s">
        <v>120</v>
      </c>
      <c r="E295" s="5" t="s">
        <v>16</v>
      </c>
      <c r="F295" s="5" t="s">
        <v>21</v>
      </c>
      <c r="G295" s="1"/>
      <c r="H295" s="1"/>
      <c r="I295" s="1"/>
      <c r="J295" s="1"/>
      <c r="K295" s="1"/>
    </row>
    <row r="296" ht="15.75" customHeight="1">
      <c r="A296" s="1"/>
      <c r="B296" s="8">
        <v>46353.0</v>
      </c>
      <c r="C296" s="3" t="str">
        <f t="shared" si="1"/>
        <v>Friday</v>
      </c>
      <c r="D296" s="9" t="s">
        <v>55</v>
      </c>
      <c r="E296" s="5"/>
      <c r="F296" s="5" t="s">
        <v>37</v>
      </c>
      <c r="G296" s="1"/>
      <c r="H296" s="1"/>
      <c r="I296" s="1"/>
      <c r="J296" s="1"/>
      <c r="K296" s="1"/>
    </row>
    <row r="297" ht="15.75" customHeight="1">
      <c r="A297" s="1"/>
      <c r="B297" s="8">
        <v>46353.0</v>
      </c>
      <c r="C297" s="3" t="str">
        <f t="shared" si="1"/>
        <v>Friday</v>
      </c>
      <c r="D297" s="9" t="s">
        <v>38</v>
      </c>
      <c r="E297" s="5" t="s">
        <v>39</v>
      </c>
      <c r="F297" s="5" t="s">
        <v>21</v>
      </c>
      <c r="G297" s="1"/>
      <c r="H297" s="1"/>
      <c r="I297" s="1"/>
      <c r="J297" s="1"/>
      <c r="K297" s="1"/>
    </row>
    <row r="298" ht="15.75" customHeight="1">
      <c r="A298" s="1"/>
      <c r="B298" s="8">
        <v>46354.0</v>
      </c>
      <c r="C298" s="3" t="str">
        <f t="shared" si="1"/>
        <v>Saturday</v>
      </c>
      <c r="D298" s="9" t="s">
        <v>121</v>
      </c>
      <c r="E298" s="5" t="s">
        <v>16</v>
      </c>
      <c r="F298" s="5" t="s">
        <v>43</v>
      </c>
      <c r="G298" s="1"/>
      <c r="H298" s="1"/>
      <c r="I298" s="1"/>
      <c r="J298" s="1"/>
      <c r="K298" s="1"/>
    </row>
    <row r="299" ht="15.75" customHeight="1">
      <c r="A299" s="1"/>
      <c r="B299" s="8">
        <v>46355.0</v>
      </c>
      <c r="C299" s="3" t="str">
        <f t="shared" si="1"/>
        <v>Sunday</v>
      </c>
      <c r="D299" s="9" t="s">
        <v>121</v>
      </c>
      <c r="E299" s="5" t="s">
        <v>16</v>
      </c>
      <c r="F299" s="5" t="s">
        <v>43</v>
      </c>
      <c r="G299" s="1"/>
      <c r="H299" s="1"/>
      <c r="I299" s="1"/>
      <c r="J299" s="1"/>
      <c r="K299" s="1"/>
    </row>
    <row r="300" ht="15.75" customHeight="1">
      <c r="A300" s="1"/>
      <c r="B300" s="8">
        <v>46358.0</v>
      </c>
      <c r="C300" s="3" t="str">
        <f t="shared" si="1"/>
        <v>Wednesday</v>
      </c>
      <c r="D300" s="4" t="s">
        <v>33</v>
      </c>
      <c r="E300" s="5"/>
      <c r="F300" s="5"/>
      <c r="G300" s="1"/>
      <c r="H300" s="1"/>
      <c r="I300" s="1"/>
      <c r="J300" s="1"/>
      <c r="K300" s="1"/>
    </row>
    <row r="301" ht="15.75" customHeight="1">
      <c r="A301" s="1"/>
      <c r="B301" s="8">
        <v>46360.0</v>
      </c>
      <c r="C301" s="3" t="str">
        <f t="shared" si="1"/>
        <v>Friday</v>
      </c>
      <c r="D301" s="9" t="s">
        <v>36</v>
      </c>
      <c r="E301" s="5" t="s">
        <v>16</v>
      </c>
      <c r="F301" s="5" t="s">
        <v>37</v>
      </c>
      <c r="G301" s="1"/>
      <c r="H301" s="1"/>
      <c r="I301" s="1"/>
      <c r="J301" s="1"/>
      <c r="K301" s="1"/>
    </row>
    <row r="302" ht="15.75" customHeight="1">
      <c r="A302" s="1"/>
      <c r="B302" s="8">
        <v>46360.0</v>
      </c>
      <c r="C302" s="3" t="str">
        <f t="shared" si="1"/>
        <v>Friday</v>
      </c>
      <c r="D302" s="9" t="s">
        <v>38</v>
      </c>
      <c r="E302" s="5" t="s">
        <v>39</v>
      </c>
      <c r="F302" s="5" t="s">
        <v>21</v>
      </c>
      <c r="G302" s="1"/>
      <c r="H302" s="1"/>
      <c r="I302" s="1"/>
      <c r="J302" s="1"/>
      <c r="K302" s="1"/>
    </row>
    <row r="303" ht="15.75" customHeight="1">
      <c r="A303" s="1"/>
      <c r="B303" s="8">
        <v>46361.0</v>
      </c>
      <c r="C303" s="3" t="str">
        <f t="shared" si="1"/>
        <v>Saturday</v>
      </c>
      <c r="D303" s="9" t="s">
        <v>21</v>
      </c>
      <c r="E303" s="5" t="s">
        <v>16</v>
      </c>
      <c r="F303" s="5" t="s">
        <v>21</v>
      </c>
      <c r="G303" s="1"/>
      <c r="H303" s="1"/>
      <c r="I303" s="1"/>
      <c r="J303" s="1"/>
      <c r="K303" s="1"/>
    </row>
    <row r="304" ht="15.75" customHeight="1">
      <c r="A304" s="1"/>
      <c r="B304" s="8">
        <v>46362.0</v>
      </c>
      <c r="C304" s="3" t="str">
        <f t="shared" si="1"/>
        <v>Sunday</v>
      </c>
      <c r="D304" s="9" t="s">
        <v>122</v>
      </c>
      <c r="E304" s="5" t="s">
        <v>16</v>
      </c>
      <c r="F304" s="5" t="s">
        <v>43</v>
      </c>
      <c r="G304" s="1"/>
      <c r="H304" s="1"/>
      <c r="I304" s="1"/>
      <c r="J304" s="1"/>
      <c r="K304" s="1"/>
    </row>
    <row r="305" ht="15.75" customHeight="1">
      <c r="A305" s="1"/>
      <c r="B305" s="8">
        <v>46362.0</v>
      </c>
      <c r="C305" s="3" t="str">
        <f t="shared" si="1"/>
        <v>Sunday</v>
      </c>
      <c r="D305" s="4" t="s">
        <v>28</v>
      </c>
      <c r="E305" s="5"/>
      <c r="F305" s="5"/>
      <c r="G305" s="1"/>
      <c r="H305" s="1"/>
      <c r="I305" s="1"/>
      <c r="J305" s="1"/>
      <c r="K305" s="1"/>
    </row>
    <row r="306" ht="15.75" customHeight="1">
      <c r="A306" s="1"/>
      <c r="B306" s="8">
        <v>46365.0</v>
      </c>
      <c r="C306" s="3" t="str">
        <f t="shared" si="1"/>
        <v>Wednesday</v>
      </c>
      <c r="D306" s="4" t="s">
        <v>33</v>
      </c>
      <c r="E306" s="5"/>
      <c r="F306" s="5"/>
      <c r="G306" s="1"/>
      <c r="H306" s="1"/>
      <c r="I306" s="1"/>
      <c r="J306" s="1"/>
      <c r="K306" s="1"/>
    </row>
    <row r="307" ht="15.75" customHeight="1">
      <c r="A307" s="1"/>
      <c r="B307" s="8">
        <v>46366.0</v>
      </c>
      <c r="C307" s="3" t="str">
        <f t="shared" si="1"/>
        <v>Thursday</v>
      </c>
      <c r="D307" s="9" t="s">
        <v>22</v>
      </c>
      <c r="E307" s="5" t="s">
        <v>23</v>
      </c>
      <c r="F307" s="5" t="s">
        <v>24</v>
      </c>
      <c r="G307" s="1"/>
      <c r="H307" s="1"/>
      <c r="I307" s="1"/>
      <c r="J307" s="1"/>
      <c r="K307" s="1"/>
    </row>
    <row r="308" ht="15.75" customHeight="1">
      <c r="A308" s="1"/>
      <c r="B308" s="8">
        <v>46367.0</v>
      </c>
      <c r="C308" s="3" t="str">
        <f t="shared" si="1"/>
        <v>Friday</v>
      </c>
      <c r="D308" s="9" t="s">
        <v>38</v>
      </c>
      <c r="E308" s="5" t="s">
        <v>39</v>
      </c>
      <c r="F308" s="5" t="s">
        <v>21</v>
      </c>
      <c r="G308" s="1"/>
      <c r="H308" s="1"/>
      <c r="I308" s="1"/>
      <c r="J308" s="1"/>
      <c r="K308" s="1"/>
    </row>
    <row r="309" ht="15.75" customHeight="1">
      <c r="A309" s="1"/>
      <c r="B309" s="8">
        <v>46368.0</v>
      </c>
      <c r="C309" s="3" t="str">
        <f t="shared" si="1"/>
        <v>Saturday</v>
      </c>
      <c r="D309" s="4" t="s">
        <v>123</v>
      </c>
      <c r="E309" s="5"/>
      <c r="F309" s="5"/>
      <c r="G309" s="1"/>
      <c r="H309" s="1"/>
      <c r="I309" s="1"/>
      <c r="J309" s="1"/>
      <c r="K309" s="1"/>
    </row>
    <row r="310" ht="15.75" customHeight="1">
      <c r="A310" s="1"/>
      <c r="B310" s="8">
        <v>46368.0</v>
      </c>
      <c r="C310" s="3" t="str">
        <f t="shared" si="1"/>
        <v>Saturday</v>
      </c>
      <c r="D310" s="9" t="s">
        <v>41</v>
      </c>
      <c r="E310" s="5"/>
      <c r="F310" s="5" t="s">
        <v>37</v>
      </c>
      <c r="G310" s="1"/>
      <c r="H310" s="1"/>
      <c r="I310" s="1"/>
      <c r="J310" s="1"/>
      <c r="K310" s="1"/>
    </row>
    <row r="311" ht="15.75" customHeight="1">
      <c r="A311" s="1"/>
      <c r="B311" s="8">
        <v>46368.0</v>
      </c>
      <c r="C311" s="3" t="str">
        <f t="shared" si="1"/>
        <v>Saturday</v>
      </c>
      <c r="D311" s="9" t="s">
        <v>124</v>
      </c>
      <c r="E311" s="5" t="s">
        <v>16</v>
      </c>
      <c r="F311" s="5" t="s">
        <v>29</v>
      </c>
      <c r="G311" s="1"/>
      <c r="H311" s="1"/>
      <c r="I311" s="1"/>
      <c r="J311" s="1"/>
      <c r="K311" s="1"/>
    </row>
    <row r="312" ht="15.75" customHeight="1">
      <c r="A312" s="1"/>
      <c r="B312" s="8">
        <v>46369.0</v>
      </c>
      <c r="C312" s="3" t="str">
        <f t="shared" si="1"/>
        <v>Sunday</v>
      </c>
      <c r="D312" s="6" t="s">
        <v>125</v>
      </c>
      <c r="E312" s="5"/>
      <c r="F312" s="5" t="s">
        <v>17</v>
      </c>
      <c r="G312" s="1"/>
      <c r="H312" s="1"/>
      <c r="I312" s="1"/>
      <c r="J312" s="1"/>
      <c r="K312" s="1"/>
    </row>
    <row r="313" ht="15.75" customHeight="1">
      <c r="A313" s="1"/>
      <c r="B313" s="8">
        <v>46375.0</v>
      </c>
      <c r="C313" s="3" t="str">
        <f t="shared" si="1"/>
        <v>Saturday</v>
      </c>
      <c r="D313" s="9" t="s">
        <v>90</v>
      </c>
      <c r="E313" s="5" t="s">
        <v>16</v>
      </c>
      <c r="F313" s="5" t="s">
        <v>29</v>
      </c>
      <c r="G313" s="1"/>
      <c r="H313" s="1"/>
      <c r="I313" s="1"/>
      <c r="J313" s="1"/>
      <c r="K313" s="1"/>
    </row>
    <row r="314" ht="15.75" customHeight="1">
      <c r="A314" s="1"/>
      <c r="B314" s="8">
        <v>46376.0</v>
      </c>
      <c r="C314" s="3" t="str">
        <f t="shared" si="1"/>
        <v>Sunday</v>
      </c>
      <c r="D314" s="6" t="s">
        <v>126</v>
      </c>
      <c r="E314" s="5" t="s">
        <v>16</v>
      </c>
      <c r="F314" s="5" t="s">
        <v>43</v>
      </c>
      <c r="G314" s="1"/>
      <c r="H314" s="1"/>
      <c r="I314" s="1"/>
      <c r="J314" s="1"/>
      <c r="K314" s="1"/>
    </row>
    <row r="315" ht="15.75" customHeight="1">
      <c r="A315" s="1"/>
      <c r="B315" s="8">
        <v>46376.0</v>
      </c>
      <c r="C315" s="3" t="str">
        <f t="shared" si="1"/>
        <v>Sunday</v>
      </c>
      <c r="D315" s="6" t="s">
        <v>127</v>
      </c>
      <c r="E315" s="5" t="s">
        <v>16</v>
      </c>
      <c r="F315" s="5" t="s">
        <v>43</v>
      </c>
      <c r="G315" s="1"/>
      <c r="H315" s="1"/>
      <c r="I315" s="1"/>
      <c r="J315" s="1"/>
      <c r="K315" s="1"/>
    </row>
    <row r="316" ht="15.75" customHeight="1">
      <c r="A316" s="1"/>
      <c r="B316" s="8">
        <v>46387.0</v>
      </c>
      <c r="C316" s="3" t="str">
        <f t="shared" si="1"/>
        <v>Thursday</v>
      </c>
      <c r="D316" s="9" t="s">
        <v>13</v>
      </c>
      <c r="E316" s="5"/>
      <c r="F316" s="5" t="s">
        <v>43</v>
      </c>
      <c r="G316" s="1"/>
      <c r="H316" s="1"/>
      <c r="I316" s="1"/>
      <c r="J316" s="1"/>
      <c r="K316" s="1"/>
    </row>
    <row r="317" ht="15.75" customHeight="1">
      <c r="A317" s="1"/>
      <c r="B317" s="8">
        <v>46389.0</v>
      </c>
      <c r="C317" s="3" t="str">
        <f t="shared" si="1"/>
        <v>Saturday</v>
      </c>
      <c r="D317" s="9" t="s">
        <v>15</v>
      </c>
      <c r="E317" s="5"/>
      <c r="F317" s="5"/>
      <c r="G317" s="1"/>
      <c r="H317" s="1"/>
      <c r="I317" s="1"/>
      <c r="J317" s="1"/>
      <c r="K317" s="1"/>
    </row>
    <row r="318" ht="15.75" customHeight="1">
      <c r="A318" s="1"/>
      <c r="B318" s="8">
        <v>46390.0</v>
      </c>
      <c r="C318" s="3" t="str">
        <f t="shared" si="1"/>
        <v>Sunday</v>
      </c>
      <c r="D318" s="9" t="s">
        <v>15</v>
      </c>
      <c r="E318" s="5"/>
      <c r="F318" s="5"/>
      <c r="G318" s="1"/>
      <c r="H318" s="1"/>
      <c r="I318" s="1"/>
      <c r="J318" s="1"/>
      <c r="K318" s="1"/>
    </row>
    <row r="319" ht="15.75" customHeight="1">
      <c r="A319" s="1"/>
      <c r="B319" s="8">
        <v>46391.0</v>
      </c>
      <c r="C319" s="3" t="str">
        <f t="shared" si="1"/>
        <v>Monday</v>
      </c>
      <c r="D319" s="9" t="s">
        <v>15</v>
      </c>
      <c r="E319" s="5"/>
      <c r="F319" s="5"/>
      <c r="G319" s="1"/>
      <c r="H319" s="1"/>
      <c r="I319" s="1"/>
      <c r="J319" s="1"/>
      <c r="K319" s="1"/>
    </row>
    <row r="320" ht="15.75" customHeight="1">
      <c r="A320" s="1"/>
      <c r="B320" s="8"/>
      <c r="C320" s="3" t="str">
        <f t="shared" si="1"/>
        <v/>
      </c>
      <c r="D320" s="4"/>
      <c r="E320" s="5"/>
      <c r="F320" s="5"/>
      <c r="G320" s="1"/>
      <c r="H320" s="1"/>
      <c r="I320" s="1"/>
      <c r="J320" s="1"/>
      <c r="K320" s="1"/>
    </row>
    <row r="321" ht="15.75" customHeight="1">
      <c r="A321" s="1"/>
      <c r="B321" s="8"/>
      <c r="C321" s="3" t="str">
        <f t="shared" si="1"/>
        <v/>
      </c>
      <c r="D321" s="4"/>
      <c r="E321" s="5"/>
      <c r="F321" s="5"/>
      <c r="G321" s="1"/>
      <c r="H321" s="1"/>
      <c r="I321" s="1"/>
      <c r="J321" s="1"/>
      <c r="K321" s="1"/>
    </row>
    <row r="322" ht="15.75" customHeight="1">
      <c r="A322" s="1"/>
      <c r="B322" s="8"/>
      <c r="C322" s="3" t="str">
        <f t="shared" si="1"/>
        <v/>
      </c>
      <c r="D322" s="4"/>
      <c r="E322" s="5"/>
      <c r="F322" s="5"/>
      <c r="G322" s="1"/>
      <c r="H322" s="1"/>
      <c r="I322" s="1"/>
      <c r="J322" s="1"/>
      <c r="K322" s="1"/>
    </row>
    <row r="323" ht="15.75" customHeight="1">
      <c r="A323" s="1"/>
      <c r="B323" s="8"/>
      <c r="C323" s="3" t="str">
        <f t="shared" si="1"/>
        <v/>
      </c>
      <c r="D323" s="4"/>
      <c r="E323" s="5"/>
      <c r="F323" s="5"/>
      <c r="G323" s="1"/>
      <c r="H323" s="1"/>
      <c r="I323" s="1"/>
      <c r="J323" s="1"/>
      <c r="K323" s="1"/>
    </row>
    <row r="324" ht="15.75" customHeight="1">
      <c r="A324" s="1"/>
      <c r="B324" s="8"/>
      <c r="C324" s="3" t="str">
        <f t="shared" si="1"/>
        <v/>
      </c>
      <c r="D324" s="4"/>
      <c r="E324" s="5"/>
      <c r="F324" s="5"/>
      <c r="G324" s="1"/>
      <c r="H324" s="1"/>
      <c r="I324" s="1"/>
      <c r="J324" s="1"/>
      <c r="K324" s="1"/>
    </row>
    <row r="325" ht="15.75" customHeight="1">
      <c r="A325" s="1"/>
      <c r="B325" s="8"/>
      <c r="C325" s="3" t="str">
        <f t="shared" si="1"/>
        <v/>
      </c>
      <c r="D325" s="4"/>
      <c r="E325" s="5"/>
      <c r="F325" s="5"/>
      <c r="G325" s="1"/>
      <c r="H325" s="1"/>
      <c r="I325" s="1"/>
      <c r="J325" s="1"/>
      <c r="K325" s="1"/>
    </row>
    <row r="326" ht="15.75" customHeight="1">
      <c r="A326" s="1"/>
      <c r="B326" s="8"/>
      <c r="C326" s="3" t="str">
        <f t="shared" si="1"/>
        <v/>
      </c>
      <c r="D326" s="4"/>
      <c r="E326" s="5"/>
      <c r="F326" s="5"/>
      <c r="G326" s="1"/>
      <c r="H326" s="1"/>
      <c r="I326" s="1"/>
      <c r="J326" s="1"/>
      <c r="K326" s="1"/>
    </row>
    <row r="327" ht="15.75" customHeight="1">
      <c r="A327" s="1"/>
      <c r="B327" s="8"/>
      <c r="C327" s="3" t="str">
        <f t="shared" si="1"/>
        <v/>
      </c>
      <c r="D327" s="4"/>
      <c r="E327" s="5"/>
      <c r="F327" s="5"/>
      <c r="G327" s="1"/>
      <c r="H327" s="1"/>
      <c r="I327" s="1"/>
      <c r="J327" s="1"/>
      <c r="K327" s="1"/>
    </row>
    <row r="328" ht="15.75" customHeight="1">
      <c r="A328" s="1"/>
      <c r="B328" s="8"/>
      <c r="C328" s="3" t="str">
        <f t="shared" si="1"/>
        <v/>
      </c>
      <c r="D328" s="4"/>
      <c r="E328" s="5"/>
      <c r="F328" s="5"/>
      <c r="G328" s="1"/>
      <c r="H328" s="1"/>
      <c r="I328" s="1"/>
      <c r="J328" s="1"/>
      <c r="K328" s="1"/>
    </row>
    <row r="329" ht="15.75" customHeight="1">
      <c r="A329" s="1"/>
      <c r="B329" s="8"/>
      <c r="C329" s="3" t="str">
        <f t="shared" si="1"/>
        <v/>
      </c>
      <c r="D329" s="4"/>
      <c r="E329" s="5"/>
      <c r="F329" s="5"/>
      <c r="G329" s="1"/>
      <c r="H329" s="1"/>
      <c r="I329" s="1"/>
      <c r="J329" s="1"/>
      <c r="K329" s="1"/>
    </row>
    <row r="330" ht="15.75" customHeight="1">
      <c r="A330" s="1"/>
      <c r="B330" s="8"/>
      <c r="C330" s="3" t="str">
        <f t="shared" si="1"/>
        <v/>
      </c>
      <c r="D330" s="4"/>
      <c r="E330" s="5"/>
      <c r="F330" s="5"/>
      <c r="G330" s="1"/>
      <c r="H330" s="1"/>
      <c r="I330" s="1"/>
      <c r="J330" s="1"/>
      <c r="K330" s="1"/>
    </row>
    <row r="331" ht="15.75" customHeight="1">
      <c r="A331" s="1"/>
      <c r="B331" s="8"/>
      <c r="C331" s="3" t="str">
        <f t="shared" si="1"/>
        <v/>
      </c>
      <c r="D331" s="4"/>
      <c r="E331" s="5"/>
      <c r="F331" s="5"/>
      <c r="G331" s="1"/>
      <c r="H331" s="1"/>
      <c r="I331" s="1"/>
      <c r="J331" s="1"/>
      <c r="K331" s="1"/>
    </row>
    <row r="332" ht="15.75" customHeight="1">
      <c r="A332" s="1"/>
      <c r="B332" s="8"/>
      <c r="C332" s="3" t="str">
        <f t="shared" si="1"/>
        <v/>
      </c>
      <c r="D332" s="4"/>
      <c r="E332" s="5"/>
      <c r="F332" s="5"/>
      <c r="G332" s="1"/>
      <c r="H332" s="1"/>
      <c r="I332" s="1"/>
      <c r="J332" s="1"/>
      <c r="K332" s="1"/>
    </row>
    <row r="333" ht="15.75" customHeight="1">
      <c r="A333" s="1"/>
      <c r="B333" s="8"/>
      <c r="C333" s="3" t="str">
        <f t="shared" si="1"/>
        <v/>
      </c>
      <c r="D333" s="4"/>
      <c r="E333" s="5"/>
      <c r="F333" s="5"/>
      <c r="G333" s="1"/>
      <c r="H333" s="1"/>
      <c r="I333" s="1"/>
      <c r="J333" s="1"/>
      <c r="K333" s="1"/>
    </row>
    <row r="334" ht="15.75" customHeight="1">
      <c r="A334" s="1"/>
      <c r="B334" s="8"/>
      <c r="C334" s="3" t="str">
        <f t="shared" si="1"/>
        <v/>
      </c>
      <c r="D334" s="4"/>
      <c r="E334" s="5"/>
      <c r="F334" s="5"/>
      <c r="G334" s="1"/>
      <c r="H334" s="1"/>
      <c r="I334" s="1"/>
      <c r="J334" s="1"/>
      <c r="K334" s="1"/>
    </row>
    <row r="335" ht="15.75" customHeight="1">
      <c r="A335" s="1"/>
      <c r="B335" s="8"/>
      <c r="C335" s="3" t="str">
        <f t="shared" si="1"/>
        <v/>
      </c>
      <c r="D335" s="4"/>
      <c r="E335" s="5"/>
      <c r="F335" s="5"/>
      <c r="G335" s="1"/>
      <c r="H335" s="1"/>
      <c r="I335" s="1"/>
      <c r="J335" s="1"/>
      <c r="K335" s="1"/>
    </row>
    <row r="336" ht="15.75" customHeight="1">
      <c r="A336" s="1"/>
      <c r="B336" s="8"/>
      <c r="C336" s="3" t="str">
        <f t="shared" si="1"/>
        <v/>
      </c>
      <c r="D336" s="4"/>
      <c r="E336" s="5"/>
      <c r="F336" s="5"/>
      <c r="G336" s="1"/>
      <c r="H336" s="1"/>
      <c r="I336" s="1"/>
      <c r="J336" s="1"/>
      <c r="K336" s="1"/>
    </row>
    <row r="337" ht="15.75" customHeight="1">
      <c r="A337" s="1"/>
      <c r="B337" s="8"/>
      <c r="C337" s="3" t="str">
        <f t="shared" si="1"/>
        <v/>
      </c>
      <c r="D337" s="4"/>
      <c r="E337" s="5"/>
      <c r="F337" s="5"/>
      <c r="G337" s="1"/>
      <c r="H337" s="1"/>
      <c r="I337" s="1"/>
      <c r="J337" s="1"/>
      <c r="K337" s="1"/>
    </row>
    <row r="338" ht="15.75" customHeight="1">
      <c r="A338" s="1"/>
      <c r="B338" s="8"/>
      <c r="C338" s="3" t="str">
        <f t="shared" si="1"/>
        <v/>
      </c>
      <c r="D338" s="4"/>
      <c r="E338" s="5"/>
      <c r="F338" s="5"/>
      <c r="G338" s="1"/>
      <c r="H338" s="1"/>
      <c r="I338" s="1"/>
      <c r="J338" s="1"/>
      <c r="K338" s="1"/>
    </row>
    <row r="339" ht="15.75" customHeight="1">
      <c r="A339" s="1"/>
      <c r="B339" s="8"/>
      <c r="C339" s="3" t="str">
        <f t="shared" si="1"/>
        <v/>
      </c>
      <c r="D339" s="4"/>
      <c r="E339" s="5"/>
      <c r="F339" s="5"/>
      <c r="G339" s="1"/>
      <c r="H339" s="1"/>
      <c r="I339" s="1"/>
      <c r="J339" s="1"/>
      <c r="K339" s="1"/>
    </row>
    <row r="340" ht="15.75" customHeight="1">
      <c r="A340" s="1"/>
      <c r="B340" s="8"/>
      <c r="C340" s="3" t="str">
        <f t="shared" si="1"/>
        <v/>
      </c>
      <c r="D340" s="4"/>
      <c r="E340" s="5"/>
      <c r="F340" s="5"/>
      <c r="G340" s="1"/>
      <c r="H340" s="1"/>
      <c r="I340" s="1"/>
      <c r="J340" s="1"/>
      <c r="K340" s="1"/>
    </row>
    <row r="341" ht="15.75" customHeight="1">
      <c r="A341" s="1"/>
      <c r="B341" s="8"/>
      <c r="C341" s="3" t="str">
        <f t="shared" si="1"/>
        <v/>
      </c>
      <c r="D341" s="4"/>
      <c r="E341" s="5"/>
      <c r="F341" s="5"/>
      <c r="G341" s="1"/>
      <c r="H341" s="1"/>
      <c r="I341" s="1"/>
      <c r="J341" s="1"/>
      <c r="K341" s="1"/>
    </row>
    <row r="342" ht="15.75" customHeight="1">
      <c r="A342" s="1"/>
      <c r="B342" s="8"/>
      <c r="C342" s="3" t="str">
        <f t="shared" si="1"/>
        <v/>
      </c>
      <c r="D342" s="4"/>
      <c r="E342" s="5"/>
      <c r="F342" s="5"/>
      <c r="G342" s="1"/>
      <c r="H342" s="1"/>
      <c r="I342" s="1"/>
      <c r="J342" s="1"/>
      <c r="K342" s="1"/>
    </row>
    <row r="343" ht="15.75" customHeight="1">
      <c r="A343" s="1"/>
      <c r="B343" s="8"/>
      <c r="C343" s="3" t="str">
        <f t="shared" si="1"/>
        <v/>
      </c>
      <c r="D343" s="4"/>
      <c r="E343" s="5"/>
      <c r="F343" s="5"/>
      <c r="G343" s="1"/>
      <c r="H343" s="1"/>
      <c r="I343" s="1"/>
      <c r="J343" s="1"/>
      <c r="K343" s="1"/>
    </row>
    <row r="344" ht="15.75" customHeight="1">
      <c r="A344" s="1"/>
      <c r="B344" s="8"/>
      <c r="C344" s="3" t="str">
        <f t="shared" si="1"/>
        <v/>
      </c>
      <c r="D344" s="4"/>
      <c r="E344" s="5"/>
      <c r="F344" s="5"/>
      <c r="G344" s="1"/>
      <c r="H344" s="1"/>
      <c r="I344" s="1"/>
      <c r="J344" s="1"/>
      <c r="K344" s="1"/>
    </row>
    <row r="345" ht="15.75" customHeight="1">
      <c r="A345" s="1"/>
      <c r="B345" s="8"/>
      <c r="C345" s="3" t="str">
        <f t="shared" si="1"/>
        <v/>
      </c>
      <c r="D345" s="4"/>
      <c r="E345" s="5"/>
      <c r="F345" s="5"/>
      <c r="G345" s="1"/>
      <c r="H345" s="1"/>
      <c r="I345" s="1"/>
      <c r="J345" s="1"/>
      <c r="K345" s="1"/>
    </row>
    <row r="346" ht="15.75" customHeight="1">
      <c r="A346" s="1"/>
      <c r="B346" s="8"/>
      <c r="C346" s="3" t="str">
        <f t="shared" si="1"/>
        <v/>
      </c>
      <c r="D346" s="4"/>
      <c r="E346" s="5"/>
      <c r="F346" s="5"/>
      <c r="G346" s="1"/>
      <c r="H346" s="1"/>
      <c r="I346" s="1"/>
      <c r="J346" s="1"/>
      <c r="K346" s="1"/>
    </row>
    <row r="347" ht="15.75" customHeight="1">
      <c r="A347" s="1"/>
      <c r="B347" s="8"/>
      <c r="C347" s="3" t="str">
        <f t="shared" si="1"/>
        <v/>
      </c>
      <c r="D347" s="4"/>
      <c r="E347" s="5"/>
      <c r="F347" s="5"/>
      <c r="G347" s="1"/>
      <c r="H347" s="1"/>
      <c r="I347" s="1"/>
      <c r="J347" s="1"/>
      <c r="K347" s="1"/>
    </row>
    <row r="348" ht="15.75" customHeight="1">
      <c r="A348" s="1"/>
      <c r="B348" s="8"/>
      <c r="C348" s="3" t="str">
        <f t="shared" si="1"/>
        <v/>
      </c>
      <c r="D348" s="4"/>
      <c r="E348" s="5"/>
      <c r="F348" s="5"/>
      <c r="G348" s="1"/>
      <c r="H348" s="1"/>
      <c r="I348" s="1"/>
      <c r="J348" s="1"/>
      <c r="K348" s="1"/>
    </row>
    <row r="349" ht="15.75" customHeight="1">
      <c r="A349" s="1"/>
      <c r="B349" s="8"/>
      <c r="C349" s="3" t="str">
        <f t="shared" si="1"/>
        <v/>
      </c>
      <c r="D349" s="4"/>
      <c r="E349" s="5"/>
      <c r="F349" s="5"/>
      <c r="G349" s="1"/>
      <c r="H349" s="1"/>
      <c r="I349" s="1"/>
      <c r="J349" s="1"/>
      <c r="K349" s="1"/>
    </row>
    <row r="350" ht="15.75" customHeight="1">
      <c r="A350" s="1"/>
      <c r="B350" s="8"/>
      <c r="C350" s="3" t="str">
        <f t="shared" si="1"/>
        <v/>
      </c>
      <c r="D350" s="4"/>
      <c r="E350" s="5"/>
      <c r="F350" s="5"/>
      <c r="G350" s="1"/>
      <c r="H350" s="1"/>
      <c r="I350" s="1"/>
      <c r="J350" s="1"/>
      <c r="K350" s="1"/>
    </row>
    <row r="351" ht="15.75" customHeight="1">
      <c r="A351" s="1"/>
      <c r="B351" s="8"/>
      <c r="C351" s="3" t="str">
        <f t="shared" si="1"/>
        <v/>
      </c>
      <c r="D351" s="4"/>
      <c r="E351" s="5"/>
      <c r="F351" s="5"/>
      <c r="G351" s="1"/>
      <c r="H351" s="1"/>
      <c r="I351" s="1"/>
      <c r="J351" s="1"/>
      <c r="K351" s="1"/>
    </row>
    <row r="352" ht="15.75" customHeight="1">
      <c r="A352" s="1"/>
      <c r="B352" s="8"/>
      <c r="C352" s="3" t="str">
        <f t="shared" si="1"/>
        <v/>
      </c>
      <c r="D352" s="4"/>
      <c r="E352" s="5"/>
      <c r="F352" s="5"/>
      <c r="G352" s="1"/>
      <c r="H352" s="1"/>
      <c r="I352" s="1"/>
      <c r="J352" s="1"/>
      <c r="K352" s="1"/>
    </row>
    <row r="353" ht="15.75" customHeight="1">
      <c r="A353" s="1"/>
      <c r="B353" s="8"/>
      <c r="C353" s="3" t="str">
        <f t="shared" si="1"/>
        <v/>
      </c>
      <c r="D353" s="4"/>
      <c r="E353" s="5"/>
      <c r="F353" s="5"/>
      <c r="G353" s="1"/>
      <c r="H353" s="1"/>
      <c r="I353" s="1"/>
      <c r="J353" s="1"/>
      <c r="K353" s="1"/>
    </row>
    <row r="354" ht="15.75" customHeight="1">
      <c r="A354" s="1"/>
      <c r="B354" s="8"/>
      <c r="C354" s="3" t="str">
        <f t="shared" si="1"/>
        <v/>
      </c>
      <c r="D354" s="4"/>
      <c r="E354" s="5"/>
      <c r="F354" s="5"/>
      <c r="G354" s="1"/>
      <c r="H354" s="1"/>
      <c r="I354" s="1"/>
      <c r="J354" s="1"/>
      <c r="K354" s="1"/>
    </row>
    <row r="355" ht="15.75" customHeight="1">
      <c r="A355" s="1"/>
      <c r="B355" s="8"/>
      <c r="C355" s="3" t="str">
        <f t="shared" si="1"/>
        <v/>
      </c>
      <c r="D355" s="4"/>
      <c r="E355" s="5"/>
      <c r="F355" s="5"/>
      <c r="G355" s="1"/>
      <c r="H355" s="1"/>
      <c r="I355" s="1"/>
      <c r="J355" s="1"/>
      <c r="K355" s="1"/>
    </row>
    <row r="356" ht="15.75" customHeight="1">
      <c r="A356" s="1"/>
      <c r="B356" s="8"/>
      <c r="C356" s="3" t="str">
        <f t="shared" si="1"/>
        <v/>
      </c>
      <c r="D356" s="4"/>
      <c r="E356" s="5"/>
      <c r="F356" s="5"/>
      <c r="G356" s="1"/>
      <c r="H356" s="1"/>
      <c r="I356" s="1"/>
      <c r="J356" s="1"/>
      <c r="K356" s="1"/>
    </row>
    <row r="357" ht="15.75" customHeight="1">
      <c r="A357" s="1"/>
      <c r="B357" s="8"/>
      <c r="C357" s="3" t="str">
        <f t="shared" si="1"/>
        <v/>
      </c>
      <c r="D357" s="4"/>
      <c r="E357" s="5"/>
      <c r="F357" s="5"/>
      <c r="G357" s="1"/>
      <c r="H357" s="1"/>
      <c r="I357" s="1"/>
      <c r="J357" s="1"/>
      <c r="K357" s="1"/>
    </row>
    <row r="358" ht="15.75" customHeight="1">
      <c r="A358" s="1"/>
      <c r="B358" s="8"/>
      <c r="C358" s="3" t="str">
        <f t="shared" si="1"/>
        <v/>
      </c>
      <c r="D358" s="4"/>
      <c r="E358" s="5"/>
      <c r="F358" s="5"/>
      <c r="G358" s="1"/>
      <c r="H358" s="1"/>
      <c r="I358" s="1"/>
      <c r="J358" s="1"/>
      <c r="K358" s="1"/>
    </row>
    <row r="359" ht="15.75" customHeight="1">
      <c r="A359" s="1"/>
      <c r="B359" s="8"/>
      <c r="C359" s="3" t="str">
        <f t="shared" si="1"/>
        <v/>
      </c>
      <c r="D359" s="4"/>
      <c r="E359" s="5"/>
      <c r="F359" s="5"/>
      <c r="G359" s="1"/>
      <c r="H359" s="1"/>
      <c r="I359" s="1"/>
      <c r="J359" s="1"/>
      <c r="K359" s="1"/>
    </row>
    <row r="360" ht="15.75" customHeight="1">
      <c r="A360" s="1"/>
      <c r="B360" s="8"/>
      <c r="C360" s="3" t="str">
        <f t="shared" si="1"/>
        <v/>
      </c>
      <c r="D360" s="4"/>
      <c r="E360" s="5"/>
      <c r="F360" s="5"/>
      <c r="G360" s="1"/>
      <c r="H360" s="1"/>
      <c r="I360" s="1"/>
      <c r="J360" s="1"/>
      <c r="K360" s="1"/>
    </row>
    <row r="361" ht="15.75" customHeight="1">
      <c r="A361" s="1"/>
      <c r="B361" s="8"/>
      <c r="C361" s="3" t="str">
        <f t="shared" si="1"/>
        <v/>
      </c>
      <c r="D361" s="4"/>
      <c r="E361" s="5"/>
      <c r="F361" s="5"/>
      <c r="G361" s="1"/>
      <c r="H361" s="1"/>
      <c r="I361" s="1"/>
      <c r="J361" s="1"/>
      <c r="K361" s="1"/>
    </row>
    <row r="362" ht="15.75" customHeight="1">
      <c r="A362" s="1"/>
      <c r="B362" s="8"/>
      <c r="C362" s="3" t="str">
        <f t="shared" si="1"/>
        <v/>
      </c>
      <c r="D362" s="4"/>
      <c r="E362" s="5"/>
      <c r="F362" s="5"/>
      <c r="G362" s="1"/>
      <c r="H362" s="1"/>
      <c r="I362" s="1"/>
      <c r="J362" s="1"/>
      <c r="K362" s="1"/>
    </row>
    <row r="363" ht="15.75" customHeight="1">
      <c r="A363" s="1"/>
      <c r="B363" s="8"/>
      <c r="C363" s="3" t="str">
        <f t="shared" si="1"/>
        <v/>
      </c>
      <c r="D363" s="4"/>
      <c r="E363" s="5"/>
      <c r="F363" s="5"/>
      <c r="G363" s="1"/>
      <c r="H363" s="1"/>
      <c r="I363" s="1"/>
      <c r="J363" s="1"/>
      <c r="K363" s="1"/>
    </row>
    <row r="364" ht="15.75" customHeight="1">
      <c r="A364" s="1"/>
      <c r="B364" s="8"/>
      <c r="C364" s="3" t="str">
        <f t="shared" si="1"/>
        <v/>
      </c>
      <c r="D364" s="4"/>
      <c r="E364" s="5"/>
      <c r="F364" s="5"/>
      <c r="G364" s="1"/>
      <c r="H364" s="1"/>
      <c r="I364" s="1"/>
      <c r="J364" s="1"/>
      <c r="K364" s="1"/>
    </row>
    <row r="365" ht="15.75" customHeight="1">
      <c r="A365" s="1"/>
      <c r="B365" s="8"/>
      <c r="C365" s="3" t="str">
        <f t="shared" si="1"/>
        <v/>
      </c>
      <c r="D365" s="4"/>
      <c r="E365" s="5"/>
      <c r="F365" s="5"/>
      <c r="G365" s="1"/>
      <c r="H365" s="1"/>
      <c r="I365" s="1"/>
      <c r="J365" s="1"/>
      <c r="K365" s="1"/>
    </row>
    <row r="366" ht="15.75" customHeight="1">
      <c r="A366" s="1"/>
      <c r="B366" s="8"/>
      <c r="C366" s="3" t="str">
        <f t="shared" si="1"/>
        <v/>
      </c>
      <c r="D366" s="4"/>
      <c r="E366" s="5"/>
      <c r="F366" s="5"/>
      <c r="G366" s="1"/>
      <c r="H366" s="1"/>
      <c r="I366" s="1"/>
      <c r="J366" s="1"/>
      <c r="K366" s="1"/>
    </row>
    <row r="367" ht="15.75" customHeight="1">
      <c r="A367" s="1"/>
      <c r="B367" s="8"/>
      <c r="C367" s="3" t="str">
        <f t="shared" si="1"/>
        <v/>
      </c>
      <c r="D367" s="4"/>
      <c r="E367" s="5"/>
      <c r="F367" s="5"/>
      <c r="G367" s="1"/>
      <c r="H367" s="1"/>
      <c r="I367" s="1"/>
      <c r="J367" s="1"/>
      <c r="K367" s="1"/>
    </row>
    <row r="368" ht="15.75" customHeight="1">
      <c r="A368" s="1"/>
      <c r="B368" s="8"/>
      <c r="C368" s="3" t="str">
        <f t="shared" si="1"/>
        <v/>
      </c>
      <c r="D368" s="4"/>
      <c r="E368" s="5"/>
      <c r="F368" s="5"/>
      <c r="G368" s="1"/>
      <c r="H368" s="1"/>
      <c r="I368" s="1"/>
      <c r="J368" s="1"/>
      <c r="K368" s="1"/>
    </row>
    <row r="369" ht="15.75" customHeight="1">
      <c r="A369" s="1"/>
      <c r="B369" s="8"/>
      <c r="C369" s="3" t="str">
        <f t="shared" si="1"/>
        <v/>
      </c>
      <c r="D369" s="4"/>
      <c r="E369" s="5"/>
      <c r="F369" s="5"/>
      <c r="G369" s="1"/>
      <c r="H369" s="1"/>
      <c r="I369" s="1"/>
      <c r="J369" s="1"/>
      <c r="K369" s="1"/>
    </row>
    <row r="370" ht="15.75" customHeight="1">
      <c r="A370" s="1"/>
      <c r="B370" s="8"/>
      <c r="C370" s="3" t="str">
        <f t="shared" si="1"/>
        <v/>
      </c>
      <c r="D370" s="4"/>
      <c r="E370" s="5"/>
      <c r="F370" s="5"/>
      <c r="G370" s="1"/>
      <c r="H370" s="1"/>
      <c r="I370" s="1"/>
      <c r="J370" s="1"/>
      <c r="K370" s="1"/>
    </row>
    <row r="371" ht="15.75" customHeight="1">
      <c r="A371" s="1"/>
      <c r="B371" s="8"/>
      <c r="C371" s="3" t="str">
        <f t="shared" si="1"/>
        <v/>
      </c>
      <c r="D371" s="4"/>
      <c r="E371" s="5"/>
      <c r="F371" s="5"/>
      <c r="G371" s="1"/>
      <c r="H371" s="1"/>
      <c r="I371" s="1"/>
      <c r="J371" s="1"/>
      <c r="K371" s="1"/>
    </row>
    <row r="372" ht="15.75" customHeight="1">
      <c r="A372" s="1"/>
      <c r="B372" s="8"/>
      <c r="C372" s="3" t="str">
        <f t="shared" si="1"/>
        <v/>
      </c>
      <c r="D372" s="4"/>
      <c r="E372" s="5"/>
      <c r="F372" s="5"/>
      <c r="G372" s="1"/>
      <c r="H372" s="1"/>
      <c r="I372" s="1"/>
      <c r="J372" s="1"/>
      <c r="K372" s="1"/>
    </row>
    <row r="373" ht="15.75" customHeight="1">
      <c r="A373" s="1"/>
      <c r="B373" s="8"/>
      <c r="C373" s="3" t="str">
        <f t="shared" si="1"/>
        <v/>
      </c>
      <c r="D373" s="4"/>
      <c r="E373" s="5"/>
      <c r="F373" s="5"/>
      <c r="G373" s="1"/>
      <c r="H373" s="1"/>
      <c r="I373" s="1"/>
      <c r="J373" s="1"/>
      <c r="K373" s="1"/>
    </row>
    <row r="374" ht="15.75" customHeight="1">
      <c r="A374" s="1"/>
      <c r="B374" s="8"/>
      <c r="C374" s="3" t="str">
        <f t="shared" si="1"/>
        <v/>
      </c>
      <c r="D374" s="4"/>
      <c r="E374" s="5"/>
      <c r="F374" s="5"/>
      <c r="G374" s="1"/>
      <c r="H374" s="1"/>
      <c r="I374" s="1"/>
      <c r="J374" s="1"/>
      <c r="K374" s="1"/>
    </row>
    <row r="375" ht="15.75" customHeight="1">
      <c r="A375" s="1"/>
      <c r="B375" s="8"/>
      <c r="C375" s="3" t="str">
        <f t="shared" si="1"/>
        <v/>
      </c>
      <c r="D375" s="4"/>
      <c r="E375" s="5"/>
      <c r="F375" s="5"/>
      <c r="G375" s="1"/>
      <c r="H375" s="1"/>
      <c r="I375" s="1"/>
      <c r="J375" s="1"/>
      <c r="K375" s="1"/>
    </row>
    <row r="376" ht="15.75" customHeight="1">
      <c r="A376" s="1"/>
      <c r="B376" s="8"/>
      <c r="C376" s="3" t="str">
        <f t="shared" si="1"/>
        <v/>
      </c>
      <c r="D376" s="4"/>
      <c r="E376" s="5"/>
      <c r="F376" s="5"/>
      <c r="G376" s="1"/>
      <c r="H376" s="1"/>
      <c r="I376" s="1"/>
      <c r="J376" s="1"/>
      <c r="K376" s="1"/>
    </row>
    <row r="377" ht="15.75" customHeight="1">
      <c r="A377" s="1"/>
      <c r="B377" s="8"/>
      <c r="C377" s="3" t="str">
        <f t="shared" si="1"/>
        <v/>
      </c>
      <c r="D377" s="4"/>
      <c r="E377" s="5"/>
      <c r="F377" s="5"/>
      <c r="G377" s="1"/>
      <c r="H377" s="1"/>
      <c r="I377" s="1"/>
      <c r="J377" s="1"/>
      <c r="K377" s="1"/>
    </row>
    <row r="378" ht="15.75" customHeight="1">
      <c r="A378" s="1"/>
      <c r="B378" s="8"/>
      <c r="C378" s="3" t="str">
        <f t="shared" si="1"/>
        <v/>
      </c>
      <c r="D378" s="4"/>
      <c r="E378" s="5"/>
      <c r="F378" s="5"/>
      <c r="G378" s="1"/>
      <c r="H378" s="1"/>
      <c r="I378" s="1"/>
      <c r="J378" s="1"/>
      <c r="K378" s="1"/>
    </row>
    <row r="379" ht="15.75" customHeight="1">
      <c r="A379" s="1"/>
      <c r="B379" s="8"/>
      <c r="C379" s="3" t="str">
        <f t="shared" si="1"/>
        <v/>
      </c>
      <c r="D379" s="4"/>
      <c r="E379" s="5"/>
      <c r="F379" s="5"/>
      <c r="G379" s="1"/>
      <c r="H379" s="1"/>
      <c r="I379" s="1"/>
      <c r="J379" s="1"/>
      <c r="K379" s="1"/>
    </row>
    <row r="380" ht="15.75" customHeight="1">
      <c r="A380" s="1"/>
      <c r="B380" s="8"/>
      <c r="C380" s="3" t="str">
        <f t="shared" si="1"/>
        <v/>
      </c>
      <c r="D380" s="4"/>
      <c r="E380" s="5"/>
      <c r="F380" s="5"/>
      <c r="G380" s="1"/>
      <c r="H380" s="1"/>
      <c r="I380" s="1"/>
      <c r="J380" s="1"/>
      <c r="K380" s="1"/>
    </row>
    <row r="381" ht="15.75" customHeight="1">
      <c r="A381" s="1"/>
      <c r="B381" s="8"/>
      <c r="C381" s="3" t="str">
        <f t="shared" si="1"/>
        <v/>
      </c>
      <c r="D381" s="4"/>
      <c r="E381" s="5"/>
      <c r="F381" s="5"/>
      <c r="G381" s="1"/>
      <c r="H381" s="1"/>
      <c r="I381" s="1"/>
      <c r="J381" s="1"/>
      <c r="K381" s="1"/>
    </row>
    <row r="382" ht="15.75" customHeight="1">
      <c r="A382" s="1"/>
      <c r="B382" s="8"/>
      <c r="C382" s="3" t="str">
        <f t="shared" si="1"/>
        <v/>
      </c>
      <c r="D382" s="4"/>
      <c r="E382" s="5"/>
      <c r="F382" s="5"/>
      <c r="G382" s="1"/>
      <c r="H382" s="1"/>
      <c r="I382" s="1"/>
      <c r="J382" s="1"/>
      <c r="K382" s="1"/>
    </row>
    <row r="383" ht="15.75" customHeight="1">
      <c r="A383" s="1"/>
      <c r="B383" s="8"/>
      <c r="C383" s="3" t="str">
        <f t="shared" si="1"/>
        <v/>
      </c>
      <c r="D383" s="4"/>
      <c r="E383" s="5"/>
      <c r="F383" s="5"/>
      <c r="G383" s="1"/>
      <c r="H383" s="1"/>
      <c r="I383" s="1"/>
      <c r="J383" s="1"/>
      <c r="K383" s="1"/>
    </row>
    <row r="384" ht="15.75" customHeight="1">
      <c r="A384" s="1"/>
      <c r="B384" s="8"/>
      <c r="C384" s="3" t="str">
        <f t="shared" si="1"/>
        <v/>
      </c>
      <c r="D384" s="4"/>
      <c r="E384" s="5"/>
      <c r="F384" s="5"/>
      <c r="G384" s="1"/>
      <c r="H384" s="1"/>
      <c r="I384" s="1"/>
      <c r="J384" s="1"/>
      <c r="K384" s="1"/>
    </row>
    <row r="385" ht="15.75" customHeight="1">
      <c r="A385" s="1"/>
      <c r="B385" s="8"/>
      <c r="C385" s="3" t="str">
        <f t="shared" si="1"/>
        <v/>
      </c>
      <c r="D385" s="4"/>
      <c r="E385" s="5"/>
      <c r="F385" s="5"/>
      <c r="G385" s="1"/>
      <c r="H385" s="1"/>
      <c r="I385" s="1"/>
      <c r="J385" s="1"/>
      <c r="K385" s="1"/>
    </row>
    <row r="386" ht="15.75" customHeight="1">
      <c r="A386" s="1"/>
      <c r="B386" s="8"/>
      <c r="C386" s="3" t="str">
        <f t="shared" si="1"/>
        <v/>
      </c>
      <c r="D386" s="4"/>
      <c r="E386" s="5"/>
      <c r="F386" s="5"/>
      <c r="G386" s="1"/>
      <c r="H386" s="1"/>
      <c r="I386" s="1"/>
      <c r="J386" s="1"/>
      <c r="K386" s="1"/>
    </row>
    <row r="387" ht="15.75" customHeight="1">
      <c r="A387" s="1"/>
      <c r="B387" s="8"/>
      <c r="C387" s="3" t="str">
        <f t="shared" si="1"/>
        <v/>
      </c>
      <c r="D387" s="4"/>
      <c r="E387" s="5"/>
      <c r="F387" s="5"/>
      <c r="G387" s="1"/>
      <c r="H387" s="1"/>
      <c r="I387" s="1"/>
      <c r="J387" s="1"/>
      <c r="K387" s="1"/>
    </row>
    <row r="388" ht="15.75" customHeight="1">
      <c r="A388" s="1"/>
      <c r="B388" s="8"/>
      <c r="C388" s="3" t="str">
        <f t="shared" si="1"/>
        <v/>
      </c>
      <c r="D388" s="4"/>
      <c r="E388" s="5"/>
      <c r="F388" s="5"/>
      <c r="G388" s="1"/>
      <c r="H388" s="1"/>
      <c r="I388" s="1"/>
      <c r="J388" s="1"/>
      <c r="K388" s="1"/>
    </row>
    <row r="389" ht="15.75" customHeight="1">
      <c r="A389" s="1"/>
      <c r="B389" s="8"/>
      <c r="C389" s="3" t="str">
        <f t="shared" si="1"/>
        <v/>
      </c>
      <c r="D389" s="4"/>
      <c r="E389" s="5"/>
      <c r="F389" s="5"/>
      <c r="G389" s="1"/>
      <c r="H389" s="1"/>
      <c r="I389" s="1"/>
      <c r="J389" s="1"/>
      <c r="K389" s="1"/>
    </row>
    <row r="390" ht="15.75" customHeight="1">
      <c r="A390" s="1"/>
      <c r="B390" s="8"/>
      <c r="C390" s="3" t="str">
        <f t="shared" si="1"/>
        <v/>
      </c>
      <c r="D390" s="4"/>
      <c r="E390" s="5"/>
      <c r="F390" s="5"/>
      <c r="G390" s="1"/>
      <c r="H390" s="1"/>
      <c r="I390" s="1"/>
      <c r="J390" s="1"/>
      <c r="K390" s="1"/>
    </row>
    <row r="391" ht="15.75" customHeight="1">
      <c r="A391" s="1"/>
      <c r="B391" s="8"/>
      <c r="C391" s="3" t="str">
        <f t="shared" si="1"/>
        <v/>
      </c>
      <c r="D391" s="4"/>
      <c r="E391" s="5"/>
      <c r="F391" s="5"/>
      <c r="G391" s="1"/>
      <c r="H391" s="1"/>
      <c r="I391" s="1"/>
      <c r="J391" s="1"/>
      <c r="K391" s="1"/>
    </row>
    <row r="392" ht="15.75" customHeight="1">
      <c r="A392" s="1"/>
      <c r="B392" s="8"/>
      <c r="C392" s="3" t="str">
        <f t="shared" si="1"/>
        <v/>
      </c>
      <c r="D392" s="4"/>
      <c r="E392" s="5"/>
      <c r="F392" s="5"/>
      <c r="G392" s="1"/>
      <c r="H392" s="1"/>
      <c r="I392" s="1"/>
      <c r="J392" s="1"/>
      <c r="K392" s="1"/>
    </row>
    <row r="393" ht="15.75" customHeight="1">
      <c r="A393" s="1"/>
      <c r="B393" s="8"/>
      <c r="C393" s="3" t="str">
        <f t="shared" si="1"/>
        <v/>
      </c>
      <c r="D393" s="4"/>
      <c r="E393" s="5"/>
      <c r="F393" s="5"/>
      <c r="G393" s="1"/>
      <c r="H393" s="1"/>
      <c r="I393" s="1"/>
      <c r="J393" s="1"/>
      <c r="K393" s="1"/>
    </row>
    <row r="394" ht="15.75" customHeight="1">
      <c r="A394" s="1"/>
      <c r="B394" s="8"/>
      <c r="C394" s="3" t="str">
        <f t="shared" si="1"/>
        <v/>
      </c>
      <c r="D394" s="4"/>
      <c r="E394" s="5"/>
      <c r="F394" s="5"/>
      <c r="G394" s="1"/>
      <c r="H394" s="1"/>
      <c r="I394" s="1"/>
      <c r="J394" s="1"/>
      <c r="K394" s="1"/>
    </row>
    <row r="395" ht="15.75" customHeight="1">
      <c r="A395" s="1"/>
      <c r="B395" s="8"/>
      <c r="C395" s="3" t="str">
        <f t="shared" si="1"/>
        <v/>
      </c>
      <c r="D395" s="4"/>
      <c r="E395" s="5"/>
      <c r="F395" s="5"/>
      <c r="G395" s="1"/>
      <c r="H395" s="1"/>
      <c r="I395" s="1"/>
      <c r="J395" s="1"/>
      <c r="K395" s="1"/>
    </row>
    <row r="396" ht="15.75" customHeight="1">
      <c r="A396" s="1"/>
      <c r="B396" s="8"/>
      <c r="C396" s="3" t="str">
        <f t="shared" si="1"/>
        <v/>
      </c>
      <c r="D396" s="4"/>
      <c r="E396" s="5"/>
      <c r="F396" s="5"/>
      <c r="G396" s="1"/>
      <c r="H396" s="1"/>
      <c r="I396" s="1"/>
      <c r="J396" s="1"/>
      <c r="K396" s="1"/>
    </row>
    <row r="397" ht="15.75" customHeight="1">
      <c r="A397" s="1"/>
      <c r="B397" s="8"/>
      <c r="C397" s="3" t="str">
        <f t="shared" si="1"/>
        <v/>
      </c>
      <c r="D397" s="4"/>
      <c r="E397" s="5"/>
      <c r="F397" s="5"/>
      <c r="G397" s="1"/>
      <c r="H397" s="1"/>
      <c r="I397" s="1"/>
      <c r="J397" s="1"/>
      <c r="K397" s="1"/>
    </row>
    <row r="398" ht="15.75" customHeight="1">
      <c r="A398" s="1"/>
      <c r="B398" s="8"/>
      <c r="C398" s="3" t="str">
        <f t="shared" si="1"/>
        <v/>
      </c>
      <c r="D398" s="4"/>
      <c r="E398" s="5"/>
      <c r="F398" s="5"/>
      <c r="G398" s="1"/>
      <c r="H398" s="1"/>
      <c r="I398" s="1"/>
      <c r="J398" s="1"/>
      <c r="K398" s="1"/>
    </row>
    <row r="399" ht="15.75" customHeight="1">
      <c r="A399" s="1"/>
      <c r="B399" s="8"/>
      <c r="C399" s="3" t="str">
        <f t="shared" si="1"/>
        <v/>
      </c>
      <c r="D399" s="4"/>
      <c r="E399" s="5"/>
      <c r="F399" s="5"/>
      <c r="G399" s="1"/>
      <c r="H399" s="1"/>
      <c r="I399" s="1"/>
      <c r="J399" s="1"/>
      <c r="K399" s="1"/>
    </row>
    <row r="400" ht="15.75" customHeight="1">
      <c r="A400" s="1"/>
      <c r="B400" s="8"/>
      <c r="C400" s="3" t="str">
        <f t="shared" si="1"/>
        <v/>
      </c>
      <c r="D400" s="4"/>
      <c r="E400" s="5"/>
      <c r="F400" s="5"/>
      <c r="G400" s="1"/>
      <c r="H400" s="1"/>
      <c r="I400" s="1"/>
      <c r="J400" s="1"/>
      <c r="K400" s="1"/>
    </row>
    <row r="401" ht="15.75" customHeight="1">
      <c r="A401" s="1"/>
      <c r="B401" s="8"/>
      <c r="C401" s="3" t="str">
        <f t="shared" si="1"/>
        <v/>
      </c>
      <c r="D401" s="4"/>
      <c r="E401" s="5"/>
      <c r="F401" s="5"/>
      <c r="G401" s="1"/>
      <c r="H401" s="1"/>
      <c r="I401" s="1"/>
      <c r="J401" s="1"/>
      <c r="K401" s="1"/>
    </row>
    <row r="402" ht="15.75" customHeight="1">
      <c r="A402" s="1"/>
      <c r="B402" s="8"/>
      <c r="C402" s="3" t="str">
        <f t="shared" si="1"/>
        <v/>
      </c>
      <c r="D402" s="4"/>
      <c r="E402" s="5"/>
      <c r="F402" s="5"/>
      <c r="G402" s="1"/>
      <c r="H402" s="1"/>
      <c r="I402" s="1"/>
      <c r="J402" s="1"/>
      <c r="K402" s="1"/>
    </row>
    <row r="403" ht="15.75" customHeight="1">
      <c r="A403" s="1"/>
      <c r="B403" s="8"/>
      <c r="C403" s="3" t="str">
        <f t="shared" si="1"/>
        <v/>
      </c>
      <c r="D403" s="4"/>
      <c r="E403" s="5"/>
      <c r="F403" s="5"/>
      <c r="G403" s="1"/>
      <c r="H403" s="1"/>
      <c r="I403" s="1"/>
      <c r="J403" s="1"/>
      <c r="K403" s="1"/>
    </row>
    <row r="404" ht="15.75" customHeight="1">
      <c r="A404" s="1"/>
      <c r="B404" s="8"/>
      <c r="C404" s="3" t="str">
        <f t="shared" si="1"/>
        <v/>
      </c>
      <c r="D404" s="4"/>
      <c r="E404" s="5"/>
      <c r="F404" s="5"/>
      <c r="G404" s="1"/>
      <c r="H404" s="1"/>
      <c r="I404" s="1"/>
      <c r="J404" s="1"/>
      <c r="K404" s="1"/>
    </row>
    <row r="405" ht="15.75" customHeight="1">
      <c r="A405" s="1"/>
      <c r="B405" s="8"/>
      <c r="C405" s="3" t="str">
        <f t="shared" si="1"/>
        <v/>
      </c>
      <c r="D405" s="4"/>
      <c r="E405" s="5"/>
      <c r="F405" s="5"/>
      <c r="G405" s="1"/>
      <c r="H405" s="1"/>
      <c r="I405" s="1"/>
      <c r="J405" s="1"/>
      <c r="K405" s="1"/>
    </row>
    <row r="406" ht="15.75" customHeight="1">
      <c r="A406" s="1"/>
      <c r="B406" s="8"/>
      <c r="C406" s="3" t="str">
        <f t="shared" si="1"/>
        <v/>
      </c>
      <c r="D406" s="4"/>
      <c r="E406" s="5"/>
      <c r="F406" s="5"/>
      <c r="G406" s="1"/>
      <c r="H406" s="1"/>
      <c r="I406" s="1"/>
      <c r="J406" s="1"/>
      <c r="K406" s="1"/>
    </row>
    <row r="407" ht="15.75" customHeight="1">
      <c r="A407" s="1"/>
      <c r="B407" s="8"/>
      <c r="C407" s="3" t="str">
        <f t="shared" si="1"/>
        <v/>
      </c>
      <c r="D407" s="4"/>
      <c r="E407" s="5"/>
      <c r="F407" s="5"/>
      <c r="G407" s="1"/>
      <c r="H407" s="1"/>
      <c r="I407" s="1"/>
      <c r="J407" s="1"/>
      <c r="K407" s="1"/>
    </row>
    <row r="408" ht="15.75" customHeight="1">
      <c r="A408" s="1"/>
      <c r="B408" s="8"/>
      <c r="C408" s="3" t="str">
        <f t="shared" si="1"/>
        <v/>
      </c>
      <c r="D408" s="4"/>
      <c r="E408" s="5"/>
      <c r="F408" s="5"/>
      <c r="G408" s="1"/>
      <c r="H408" s="1"/>
      <c r="I408" s="1"/>
      <c r="J408" s="1"/>
      <c r="K408" s="1"/>
    </row>
    <row r="409" ht="15.75" customHeight="1">
      <c r="A409" s="1"/>
      <c r="B409" s="8"/>
      <c r="C409" s="3" t="str">
        <f t="shared" si="1"/>
        <v/>
      </c>
      <c r="D409" s="4"/>
      <c r="E409" s="5"/>
      <c r="F409" s="5"/>
      <c r="G409" s="1"/>
      <c r="H409" s="1"/>
      <c r="I409" s="1"/>
      <c r="J409" s="1"/>
      <c r="K409" s="1"/>
    </row>
    <row r="410" ht="15.75" customHeight="1">
      <c r="A410" s="1"/>
      <c r="B410" s="8"/>
      <c r="C410" s="3" t="str">
        <f t="shared" si="1"/>
        <v/>
      </c>
      <c r="D410" s="4"/>
      <c r="E410" s="5"/>
      <c r="F410" s="5"/>
      <c r="G410" s="1"/>
      <c r="H410" s="1"/>
      <c r="I410" s="1"/>
      <c r="J410" s="1"/>
      <c r="K410" s="1"/>
    </row>
    <row r="411" ht="15.75" customHeight="1">
      <c r="A411" s="1"/>
      <c r="B411" s="8"/>
      <c r="C411" s="3" t="str">
        <f t="shared" si="1"/>
        <v/>
      </c>
      <c r="D411" s="4"/>
      <c r="E411" s="5"/>
      <c r="F411" s="5"/>
      <c r="G411" s="1"/>
      <c r="H411" s="1"/>
      <c r="I411" s="1"/>
      <c r="J411" s="1"/>
      <c r="K411" s="1"/>
    </row>
    <row r="412" ht="15.75" customHeight="1">
      <c r="A412" s="1"/>
      <c r="B412" s="8"/>
      <c r="C412" s="3" t="str">
        <f t="shared" si="1"/>
        <v/>
      </c>
      <c r="D412" s="4"/>
      <c r="E412" s="5"/>
      <c r="F412" s="5"/>
      <c r="G412" s="1"/>
      <c r="H412" s="1"/>
      <c r="I412" s="1"/>
      <c r="J412" s="1"/>
      <c r="K412" s="1"/>
    </row>
    <row r="413" ht="15.75" customHeight="1">
      <c r="A413" s="1"/>
      <c r="B413" s="8"/>
      <c r="C413" s="3" t="str">
        <f t="shared" si="1"/>
        <v/>
      </c>
      <c r="D413" s="4"/>
      <c r="E413" s="5"/>
      <c r="F413" s="5"/>
      <c r="G413" s="1"/>
      <c r="H413" s="1"/>
      <c r="I413" s="1"/>
      <c r="J413" s="1"/>
      <c r="K413" s="1"/>
    </row>
    <row r="414" ht="15.75" customHeight="1">
      <c r="A414" s="1"/>
      <c r="B414" s="8"/>
      <c r="C414" s="3" t="str">
        <f t="shared" si="1"/>
        <v/>
      </c>
      <c r="D414" s="4"/>
      <c r="E414" s="5"/>
      <c r="F414" s="5"/>
      <c r="G414" s="1"/>
      <c r="H414" s="1"/>
      <c r="I414" s="1"/>
      <c r="J414" s="1"/>
      <c r="K414" s="1"/>
    </row>
    <row r="415" ht="15.75" customHeight="1">
      <c r="A415" s="1"/>
      <c r="B415" s="8"/>
      <c r="C415" s="3" t="str">
        <f t="shared" si="1"/>
        <v/>
      </c>
      <c r="D415" s="4"/>
      <c r="E415" s="5"/>
      <c r="F415" s="5"/>
      <c r="G415" s="1"/>
      <c r="H415" s="1"/>
      <c r="I415" s="1"/>
      <c r="J415" s="1"/>
      <c r="K415" s="1"/>
    </row>
    <row r="416" ht="15.75" customHeight="1">
      <c r="A416" s="1"/>
      <c r="B416" s="8"/>
      <c r="C416" s="3" t="str">
        <f t="shared" si="1"/>
        <v/>
      </c>
      <c r="D416" s="4"/>
      <c r="E416" s="5"/>
      <c r="F416" s="5"/>
      <c r="G416" s="1"/>
      <c r="H416" s="1"/>
      <c r="I416" s="1"/>
      <c r="J416" s="1"/>
      <c r="K416" s="1"/>
    </row>
    <row r="417" ht="15.75" customHeight="1">
      <c r="A417" s="1"/>
      <c r="B417" s="8"/>
      <c r="C417" s="3" t="str">
        <f t="shared" si="1"/>
        <v/>
      </c>
      <c r="D417" s="4"/>
      <c r="E417" s="5"/>
      <c r="F417" s="5"/>
      <c r="G417" s="1"/>
      <c r="H417" s="1"/>
      <c r="I417" s="1"/>
      <c r="J417" s="1"/>
      <c r="K417" s="1"/>
    </row>
    <row r="418" ht="15.75" customHeight="1">
      <c r="A418" s="1"/>
      <c r="B418" s="8"/>
      <c r="C418" s="3" t="str">
        <f t="shared" si="1"/>
        <v/>
      </c>
      <c r="D418" s="4"/>
      <c r="E418" s="5"/>
      <c r="F418" s="5"/>
      <c r="G418" s="1"/>
      <c r="H418" s="1"/>
      <c r="I418" s="1"/>
      <c r="J418" s="1"/>
      <c r="K418" s="1"/>
    </row>
    <row r="419" ht="15.75" customHeight="1">
      <c r="A419" s="1"/>
      <c r="B419" s="8"/>
      <c r="C419" s="3" t="str">
        <f t="shared" si="1"/>
        <v/>
      </c>
      <c r="D419" s="4"/>
      <c r="E419" s="5"/>
      <c r="F419" s="5"/>
      <c r="G419" s="1"/>
      <c r="H419" s="1"/>
      <c r="I419" s="1"/>
      <c r="J419" s="1"/>
      <c r="K419" s="1"/>
    </row>
    <row r="420" ht="15.75" customHeight="1">
      <c r="A420" s="1"/>
      <c r="B420" s="8"/>
      <c r="C420" s="3" t="str">
        <f t="shared" si="1"/>
        <v/>
      </c>
      <c r="D420" s="4"/>
      <c r="E420" s="5"/>
      <c r="F420" s="5"/>
      <c r="G420" s="1"/>
      <c r="H420" s="1"/>
      <c r="I420" s="1"/>
      <c r="J420" s="1"/>
      <c r="K420" s="1"/>
    </row>
    <row r="421" ht="15.75" customHeight="1">
      <c r="A421" s="1"/>
      <c r="B421" s="8"/>
      <c r="C421" s="3" t="str">
        <f t="shared" si="1"/>
        <v/>
      </c>
      <c r="D421" s="4"/>
      <c r="E421" s="5"/>
      <c r="F421" s="5"/>
      <c r="G421" s="1"/>
      <c r="H421" s="1"/>
      <c r="I421" s="1"/>
      <c r="J421" s="1"/>
      <c r="K421" s="1"/>
    </row>
    <row r="422" ht="15.75" customHeight="1">
      <c r="A422" s="1"/>
      <c r="B422" s="8"/>
      <c r="C422" s="3" t="str">
        <f t="shared" si="1"/>
        <v/>
      </c>
      <c r="D422" s="4"/>
      <c r="E422" s="5"/>
      <c r="F422" s="5"/>
      <c r="G422" s="1"/>
      <c r="H422" s="1"/>
      <c r="I422" s="1"/>
      <c r="J422" s="1"/>
      <c r="K422" s="1"/>
    </row>
    <row r="423" ht="15.75" customHeight="1">
      <c r="A423" s="1"/>
      <c r="B423" s="8"/>
      <c r="C423" s="3" t="str">
        <f t="shared" si="1"/>
        <v/>
      </c>
      <c r="D423" s="4"/>
      <c r="E423" s="5"/>
      <c r="F423" s="5"/>
      <c r="G423" s="1"/>
      <c r="H423" s="1"/>
      <c r="I423" s="1"/>
      <c r="J423" s="1"/>
      <c r="K423" s="1"/>
    </row>
    <row r="424" ht="15.75" customHeight="1">
      <c r="A424" s="1"/>
      <c r="B424" s="8"/>
      <c r="C424" s="3" t="str">
        <f t="shared" si="1"/>
        <v/>
      </c>
      <c r="D424" s="4"/>
      <c r="E424" s="5"/>
      <c r="F424" s="5"/>
      <c r="G424" s="1"/>
      <c r="H424" s="1"/>
      <c r="I424" s="1"/>
      <c r="J424" s="1"/>
      <c r="K424" s="1"/>
    </row>
    <row r="425" ht="15.75" customHeight="1">
      <c r="A425" s="1"/>
      <c r="B425" s="8"/>
      <c r="C425" s="3" t="str">
        <f t="shared" si="1"/>
        <v/>
      </c>
      <c r="D425" s="4"/>
      <c r="E425" s="5"/>
      <c r="F425" s="5"/>
      <c r="G425" s="1"/>
      <c r="H425" s="1"/>
      <c r="I425" s="1"/>
      <c r="J425" s="1"/>
      <c r="K425" s="1"/>
    </row>
    <row r="426" ht="15.75" customHeight="1">
      <c r="A426" s="1"/>
      <c r="B426" s="8"/>
      <c r="C426" s="3" t="str">
        <f t="shared" si="1"/>
        <v/>
      </c>
      <c r="D426" s="4"/>
      <c r="E426" s="5"/>
      <c r="F426" s="5"/>
      <c r="G426" s="1"/>
      <c r="H426" s="1"/>
      <c r="I426" s="1"/>
      <c r="J426" s="1"/>
      <c r="K426" s="1"/>
    </row>
    <row r="427" ht="15.75" customHeight="1">
      <c r="A427" s="1"/>
      <c r="B427" s="8"/>
      <c r="C427" s="3" t="str">
        <f t="shared" si="1"/>
        <v/>
      </c>
      <c r="D427" s="4"/>
      <c r="E427" s="5"/>
      <c r="F427" s="5"/>
      <c r="G427" s="1"/>
      <c r="H427" s="1"/>
      <c r="I427" s="1"/>
      <c r="J427" s="1"/>
      <c r="K427" s="1"/>
    </row>
    <row r="428" ht="15.75" customHeight="1">
      <c r="A428" s="1"/>
      <c r="B428" s="8"/>
      <c r="C428" s="3" t="str">
        <f t="shared" si="1"/>
        <v/>
      </c>
      <c r="D428" s="4"/>
      <c r="E428" s="5"/>
      <c r="F428" s="5"/>
      <c r="G428" s="1"/>
      <c r="H428" s="1"/>
      <c r="I428" s="1"/>
      <c r="J428" s="1"/>
      <c r="K428" s="1"/>
    </row>
    <row r="429" ht="15.75" customHeight="1">
      <c r="A429" s="1"/>
      <c r="B429" s="8"/>
      <c r="C429" s="3" t="str">
        <f t="shared" si="1"/>
        <v/>
      </c>
      <c r="D429" s="4"/>
      <c r="E429" s="5"/>
      <c r="F429" s="5"/>
      <c r="G429" s="1"/>
      <c r="H429" s="1"/>
      <c r="I429" s="1"/>
      <c r="J429" s="1"/>
      <c r="K429" s="1"/>
    </row>
    <row r="430" ht="15.75" customHeight="1">
      <c r="A430" s="1"/>
      <c r="B430" s="8"/>
      <c r="C430" s="3" t="str">
        <f t="shared" si="1"/>
        <v/>
      </c>
      <c r="D430" s="4"/>
      <c r="E430" s="5"/>
      <c r="F430" s="5"/>
      <c r="G430" s="1"/>
      <c r="H430" s="1"/>
      <c r="I430" s="1"/>
      <c r="J430" s="1"/>
      <c r="K430" s="1"/>
    </row>
    <row r="431" ht="15.75" customHeight="1">
      <c r="A431" s="1"/>
      <c r="B431" s="8"/>
      <c r="C431" s="3" t="str">
        <f t="shared" si="1"/>
        <v/>
      </c>
      <c r="D431" s="4"/>
      <c r="E431" s="5"/>
      <c r="F431" s="5"/>
      <c r="G431" s="1"/>
      <c r="H431" s="1"/>
      <c r="I431" s="1"/>
      <c r="J431" s="1"/>
      <c r="K431" s="1"/>
    </row>
    <row r="432" ht="15.75" customHeight="1">
      <c r="A432" s="1"/>
      <c r="B432" s="8"/>
      <c r="C432" s="3" t="str">
        <f t="shared" si="1"/>
        <v/>
      </c>
      <c r="D432" s="4"/>
      <c r="E432" s="5"/>
      <c r="F432" s="5"/>
      <c r="G432" s="1"/>
      <c r="H432" s="1"/>
      <c r="I432" s="1"/>
      <c r="J432" s="1"/>
      <c r="K432" s="1"/>
    </row>
    <row r="433" ht="15.75" customHeight="1">
      <c r="A433" s="1"/>
      <c r="B433" s="8"/>
      <c r="C433" s="3" t="str">
        <f t="shared" si="1"/>
        <v/>
      </c>
      <c r="D433" s="4"/>
      <c r="E433" s="5"/>
      <c r="F433" s="5"/>
      <c r="G433" s="1"/>
      <c r="H433" s="1"/>
      <c r="I433" s="1"/>
      <c r="J433" s="1"/>
      <c r="K433" s="1"/>
    </row>
    <row r="434" ht="15.75" customHeight="1">
      <c r="A434" s="1"/>
      <c r="B434" s="8"/>
      <c r="C434" s="3" t="str">
        <f t="shared" si="1"/>
        <v/>
      </c>
      <c r="D434" s="4"/>
      <c r="E434" s="5"/>
      <c r="F434" s="5"/>
      <c r="G434" s="1"/>
      <c r="H434" s="1"/>
      <c r="I434" s="1"/>
      <c r="J434" s="1"/>
      <c r="K434" s="1"/>
    </row>
    <row r="435" ht="15.75" customHeight="1">
      <c r="A435" s="1"/>
      <c r="B435" s="8"/>
      <c r="C435" s="3" t="str">
        <f t="shared" si="1"/>
        <v/>
      </c>
      <c r="D435" s="4"/>
      <c r="E435" s="5"/>
      <c r="F435" s="5"/>
      <c r="G435" s="1"/>
      <c r="H435" s="1"/>
      <c r="I435" s="1"/>
      <c r="J435" s="1"/>
      <c r="K435" s="1"/>
    </row>
    <row r="436" ht="15.75" customHeight="1">
      <c r="A436" s="1"/>
      <c r="B436" s="8"/>
      <c r="C436" s="3" t="str">
        <f t="shared" si="1"/>
        <v/>
      </c>
      <c r="D436" s="4"/>
      <c r="E436" s="5"/>
      <c r="F436" s="5"/>
      <c r="G436" s="1"/>
      <c r="H436" s="1"/>
      <c r="I436" s="1"/>
      <c r="J436" s="1"/>
      <c r="K436" s="1"/>
    </row>
    <row r="437" ht="15.75" customHeight="1">
      <c r="A437" s="1"/>
      <c r="B437" s="8"/>
      <c r="C437" s="3" t="str">
        <f t="shared" si="1"/>
        <v/>
      </c>
      <c r="D437" s="4"/>
      <c r="E437" s="5"/>
      <c r="F437" s="5"/>
      <c r="G437" s="1"/>
      <c r="H437" s="1"/>
      <c r="I437" s="1"/>
      <c r="J437" s="1"/>
      <c r="K437" s="1"/>
    </row>
    <row r="438" ht="15.75" customHeight="1">
      <c r="A438" s="1"/>
      <c r="B438" s="8"/>
      <c r="C438" s="3" t="str">
        <f t="shared" si="1"/>
        <v/>
      </c>
      <c r="D438" s="4"/>
      <c r="E438" s="5"/>
      <c r="F438" s="5"/>
      <c r="G438" s="1"/>
      <c r="H438" s="1"/>
      <c r="I438" s="1"/>
      <c r="J438" s="1"/>
      <c r="K438" s="1"/>
    </row>
    <row r="439" ht="15.75" customHeight="1">
      <c r="A439" s="1"/>
      <c r="B439" s="8"/>
      <c r="C439" s="3" t="str">
        <f t="shared" si="1"/>
        <v/>
      </c>
      <c r="D439" s="4"/>
      <c r="E439" s="5"/>
      <c r="F439" s="5"/>
      <c r="G439" s="1"/>
      <c r="H439" s="1"/>
      <c r="I439" s="1"/>
      <c r="J439" s="1"/>
      <c r="K439" s="1"/>
    </row>
    <row r="440" ht="15.75" customHeight="1">
      <c r="A440" s="1"/>
      <c r="B440" s="8"/>
      <c r="C440" s="3" t="str">
        <f t="shared" si="1"/>
        <v/>
      </c>
      <c r="D440" s="4"/>
      <c r="E440" s="5"/>
      <c r="F440" s="5"/>
      <c r="G440" s="1"/>
      <c r="H440" s="1"/>
      <c r="I440" s="1"/>
      <c r="J440" s="1"/>
      <c r="K440" s="1"/>
    </row>
    <row r="441" ht="15.75" customHeight="1">
      <c r="A441" s="1"/>
      <c r="B441" s="8"/>
      <c r="C441" s="3" t="str">
        <f t="shared" si="1"/>
        <v/>
      </c>
      <c r="D441" s="4"/>
      <c r="E441" s="5"/>
      <c r="F441" s="5"/>
      <c r="G441" s="1"/>
      <c r="H441" s="1"/>
      <c r="I441" s="1"/>
      <c r="J441" s="1"/>
      <c r="K441" s="1"/>
    </row>
    <row r="442" ht="15.75" customHeight="1">
      <c r="A442" s="1"/>
      <c r="B442" s="8"/>
      <c r="C442" s="3" t="str">
        <f t="shared" si="1"/>
        <v/>
      </c>
      <c r="D442" s="4"/>
      <c r="E442" s="5"/>
      <c r="F442" s="5"/>
      <c r="G442" s="1"/>
      <c r="H442" s="1"/>
      <c r="I442" s="1"/>
      <c r="J442" s="1"/>
      <c r="K442" s="1"/>
    </row>
    <row r="443" ht="15.75" customHeight="1">
      <c r="A443" s="1"/>
      <c r="B443" s="8"/>
      <c r="C443" s="3" t="str">
        <f t="shared" si="1"/>
        <v/>
      </c>
      <c r="D443" s="4"/>
      <c r="E443" s="5"/>
      <c r="F443" s="5"/>
      <c r="G443" s="1"/>
      <c r="H443" s="1"/>
      <c r="I443" s="1"/>
      <c r="J443" s="1"/>
      <c r="K443" s="1"/>
    </row>
    <row r="444" ht="15.75" customHeight="1">
      <c r="A444" s="1"/>
      <c r="B444" s="8"/>
      <c r="C444" s="3" t="str">
        <f t="shared" si="1"/>
        <v/>
      </c>
      <c r="D444" s="4"/>
      <c r="E444" s="5"/>
      <c r="F444" s="5"/>
      <c r="G444" s="1"/>
      <c r="H444" s="1"/>
      <c r="I444" s="1"/>
      <c r="J444" s="1"/>
      <c r="K444" s="1"/>
    </row>
    <row r="445" ht="15.75" customHeight="1">
      <c r="A445" s="1"/>
      <c r="B445" s="8"/>
      <c r="C445" s="3" t="str">
        <f t="shared" si="1"/>
        <v/>
      </c>
      <c r="D445" s="4"/>
      <c r="E445" s="5"/>
      <c r="F445" s="5"/>
      <c r="G445" s="1"/>
      <c r="H445" s="1"/>
      <c r="I445" s="1"/>
      <c r="J445" s="1"/>
      <c r="K445" s="1"/>
    </row>
    <row r="446" ht="15.75" customHeight="1">
      <c r="A446" s="1"/>
      <c r="B446" s="8"/>
      <c r="C446" s="3" t="str">
        <f t="shared" si="1"/>
        <v/>
      </c>
      <c r="D446" s="4"/>
      <c r="E446" s="5"/>
      <c r="F446" s="5"/>
      <c r="G446" s="1"/>
      <c r="H446" s="1"/>
      <c r="I446" s="1"/>
      <c r="J446" s="1"/>
      <c r="K446" s="1"/>
    </row>
    <row r="447" ht="15.75" customHeight="1">
      <c r="A447" s="1"/>
      <c r="B447" s="8"/>
      <c r="C447" s="3" t="str">
        <f t="shared" si="1"/>
        <v/>
      </c>
      <c r="D447" s="4"/>
      <c r="E447" s="5"/>
      <c r="F447" s="5"/>
      <c r="G447" s="1"/>
      <c r="H447" s="1"/>
      <c r="I447" s="1"/>
      <c r="J447" s="1"/>
      <c r="K447" s="1"/>
    </row>
    <row r="448" ht="15.75" customHeight="1">
      <c r="A448" s="1"/>
      <c r="B448" s="8"/>
      <c r="C448" s="3" t="str">
        <f t="shared" si="1"/>
        <v/>
      </c>
      <c r="D448" s="4"/>
      <c r="E448" s="5"/>
      <c r="F448" s="5"/>
      <c r="G448" s="1"/>
      <c r="H448" s="1"/>
      <c r="I448" s="1"/>
      <c r="J448" s="1"/>
      <c r="K448" s="1"/>
    </row>
    <row r="449" ht="15.75" customHeight="1">
      <c r="A449" s="1"/>
      <c r="B449" s="8"/>
      <c r="C449" s="3" t="str">
        <f t="shared" si="1"/>
        <v/>
      </c>
      <c r="D449" s="4"/>
      <c r="E449" s="5"/>
      <c r="F449" s="5"/>
      <c r="G449" s="1"/>
      <c r="H449" s="1"/>
      <c r="I449" s="1"/>
      <c r="J449" s="1"/>
      <c r="K449" s="1"/>
    </row>
    <row r="450" ht="15.75" customHeight="1">
      <c r="A450" s="1"/>
      <c r="B450" s="8"/>
      <c r="C450" s="3" t="str">
        <f t="shared" si="1"/>
        <v/>
      </c>
      <c r="D450" s="4"/>
      <c r="E450" s="5"/>
      <c r="F450" s="5"/>
      <c r="G450" s="1"/>
      <c r="H450" s="1"/>
      <c r="I450" s="1"/>
      <c r="J450" s="1"/>
      <c r="K450" s="1"/>
    </row>
    <row r="451" ht="15.75" customHeight="1">
      <c r="A451" s="1"/>
      <c r="B451" s="8"/>
      <c r="C451" s="3" t="str">
        <f t="shared" si="1"/>
        <v/>
      </c>
      <c r="D451" s="4"/>
      <c r="E451" s="5"/>
      <c r="F451" s="5"/>
      <c r="G451" s="1"/>
      <c r="H451" s="1"/>
      <c r="I451" s="1"/>
      <c r="J451" s="1"/>
      <c r="K451" s="1"/>
    </row>
    <row r="452" ht="15.75" customHeight="1">
      <c r="A452" s="1"/>
      <c r="B452" s="8"/>
      <c r="C452" s="3" t="str">
        <f t="shared" si="1"/>
        <v/>
      </c>
      <c r="D452" s="4"/>
      <c r="E452" s="5"/>
      <c r="F452" s="5"/>
      <c r="G452" s="1"/>
      <c r="H452" s="1"/>
      <c r="I452" s="1"/>
      <c r="J452" s="1"/>
      <c r="K452" s="1"/>
    </row>
    <row r="453" ht="15.75" customHeight="1">
      <c r="A453" s="1"/>
      <c r="B453" s="8"/>
      <c r="C453" s="3" t="str">
        <f t="shared" si="1"/>
        <v/>
      </c>
      <c r="D453" s="4"/>
      <c r="E453" s="5"/>
      <c r="F453" s="5"/>
      <c r="G453" s="1"/>
      <c r="H453" s="1"/>
      <c r="I453" s="1"/>
      <c r="J453" s="1"/>
      <c r="K453" s="1"/>
    </row>
    <row r="454" ht="15.75" customHeight="1">
      <c r="A454" s="1"/>
      <c r="B454" s="8"/>
      <c r="C454" s="3" t="str">
        <f t="shared" si="1"/>
        <v/>
      </c>
      <c r="D454" s="4"/>
      <c r="E454" s="5"/>
      <c r="F454" s="5"/>
      <c r="G454" s="1"/>
      <c r="H454" s="1"/>
      <c r="I454" s="1"/>
      <c r="J454" s="1"/>
      <c r="K454" s="1"/>
    </row>
    <row r="455" ht="15.75" customHeight="1">
      <c r="A455" s="1"/>
      <c r="B455" s="8"/>
      <c r="C455" s="3" t="str">
        <f t="shared" si="1"/>
        <v/>
      </c>
      <c r="D455" s="4"/>
      <c r="E455" s="5"/>
      <c r="F455" s="5"/>
      <c r="G455" s="1"/>
      <c r="H455" s="1"/>
      <c r="I455" s="1"/>
      <c r="J455" s="1"/>
      <c r="K455" s="1"/>
    </row>
    <row r="456" ht="15.75" customHeight="1">
      <c r="A456" s="1"/>
      <c r="B456" s="8"/>
      <c r="C456" s="3" t="str">
        <f t="shared" si="1"/>
        <v/>
      </c>
      <c r="D456" s="4"/>
      <c r="E456" s="5"/>
      <c r="F456" s="5"/>
      <c r="G456" s="1"/>
      <c r="H456" s="1"/>
      <c r="I456" s="1"/>
      <c r="J456" s="1"/>
      <c r="K456" s="1"/>
    </row>
    <row r="457" ht="15.75" customHeight="1">
      <c r="A457" s="1"/>
      <c r="B457" s="8"/>
      <c r="C457" s="3" t="str">
        <f t="shared" si="1"/>
        <v/>
      </c>
      <c r="D457" s="4"/>
      <c r="E457" s="5"/>
      <c r="F457" s="5"/>
      <c r="G457" s="1"/>
      <c r="H457" s="1"/>
      <c r="I457" s="1"/>
      <c r="J457" s="1"/>
      <c r="K457" s="1"/>
    </row>
    <row r="458" ht="15.75" customHeight="1">
      <c r="A458" s="1"/>
      <c r="B458" s="8"/>
      <c r="C458" s="3" t="str">
        <f t="shared" si="1"/>
        <v/>
      </c>
      <c r="D458" s="4"/>
      <c r="E458" s="5"/>
      <c r="F458" s="5"/>
      <c r="G458" s="1"/>
      <c r="H458" s="1"/>
      <c r="I458" s="1"/>
      <c r="J458" s="1"/>
      <c r="K458" s="1"/>
    </row>
    <row r="459" ht="15.75" customHeight="1">
      <c r="A459" s="1"/>
      <c r="B459" s="8"/>
      <c r="C459" s="3" t="str">
        <f t="shared" si="1"/>
        <v/>
      </c>
      <c r="D459" s="4"/>
      <c r="E459" s="5"/>
      <c r="F459" s="5"/>
      <c r="G459" s="1"/>
      <c r="H459" s="1"/>
      <c r="I459" s="1"/>
      <c r="J459" s="1"/>
      <c r="K459" s="1"/>
    </row>
    <row r="460" ht="15.75" customHeight="1">
      <c r="A460" s="1"/>
      <c r="B460" s="8"/>
      <c r="C460" s="3" t="str">
        <f t="shared" si="1"/>
        <v/>
      </c>
      <c r="D460" s="4"/>
      <c r="E460" s="5"/>
      <c r="F460" s="5"/>
      <c r="G460" s="1"/>
      <c r="H460" s="1"/>
      <c r="I460" s="1"/>
      <c r="J460" s="1"/>
      <c r="K460" s="1"/>
    </row>
    <row r="461" ht="15.75" customHeight="1">
      <c r="A461" s="1"/>
      <c r="B461" s="8"/>
      <c r="C461" s="3" t="str">
        <f t="shared" si="1"/>
        <v/>
      </c>
      <c r="D461" s="4"/>
      <c r="E461" s="5"/>
      <c r="F461" s="5"/>
      <c r="G461" s="1"/>
      <c r="H461" s="1"/>
      <c r="I461" s="1"/>
      <c r="J461" s="1"/>
      <c r="K461" s="1"/>
    </row>
    <row r="462" ht="15.75" customHeight="1">
      <c r="A462" s="1"/>
      <c r="B462" s="8"/>
      <c r="C462" s="3" t="str">
        <f t="shared" si="1"/>
        <v/>
      </c>
      <c r="D462" s="4"/>
      <c r="E462" s="5"/>
      <c r="F462" s="5"/>
      <c r="G462" s="1"/>
      <c r="H462" s="1"/>
      <c r="I462" s="1"/>
      <c r="J462" s="1"/>
      <c r="K462" s="1"/>
    </row>
    <row r="463" ht="15.75" customHeight="1">
      <c r="A463" s="1"/>
      <c r="B463" s="8"/>
      <c r="C463" s="3" t="str">
        <f t="shared" si="1"/>
        <v/>
      </c>
      <c r="D463" s="4"/>
      <c r="E463" s="5"/>
      <c r="F463" s="5"/>
      <c r="G463" s="1"/>
      <c r="H463" s="1"/>
      <c r="I463" s="1"/>
      <c r="J463" s="1"/>
      <c r="K463" s="1"/>
    </row>
    <row r="464" ht="15.75" customHeight="1">
      <c r="A464" s="1"/>
      <c r="B464" s="8"/>
      <c r="C464" s="3" t="str">
        <f t="shared" si="1"/>
        <v/>
      </c>
      <c r="D464" s="4"/>
      <c r="E464" s="5"/>
      <c r="F464" s="5"/>
      <c r="G464" s="1"/>
      <c r="H464" s="1"/>
      <c r="I464" s="1"/>
      <c r="J464" s="1"/>
      <c r="K464" s="1"/>
    </row>
    <row r="465" ht="15.75" customHeight="1">
      <c r="A465" s="1"/>
      <c r="B465" s="8"/>
      <c r="C465" s="3" t="str">
        <f t="shared" si="1"/>
        <v/>
      </c>
      <c r="D465" s="4"/>
      <c r="E465" s="5"/>
      <c r="F465" s="5"/>
      <c r="G465" s="1"/>
      <c r="H465" s="1"/>
      <c r="I465" s="1"/>
      <c r="J465" s="1"/>
      <c r="K465" s="1"/>
    </row>
    <row r="466" ht="15.75" customHeight="1">
      <c r="A466" s="1"/>
      <c r="B466" s="8"/>
      <c r="C466" s="3" t="str">
        <f t="shared" si="1"/>
        <v/>
      </c>
      <c r="D466" s="4"/>
      <c r="E466" s="5"/>
      <c r="F466" s="5"/>
      <c r="G466" s="1"/>
      <c r="H466" s="1"/>
      <c r="I466" s="1"/>
      <c r="J466" s="1"/>
      <c r="K466" s="1"/>
    </row>
    <row r="467" ht="15.75" customHeight="1">
      <c r="A467" s="1"/>
      <c r="B467" s="8"/>
      <c r="C467" s="3" t="str">
        <f t="shared" si="1"/>
        <v/>
      </c>
      <c r="D467" s="4"/>
      <c r="E467" s="5"/>
      <c r="F467" s="5"/>
      <c r="G467" s="1"/>
      <c r="H467" s="1"/>
      <c r="I467" s="1"/>
      <c r="J467" s="1"/>
      <c r="K467" s="1"/>
    </row>
    <row r="468" ht="15.75" customHeight="1">
      <c r="A468" s="1"/>
      <c r="B468" s="8"/>
      <c r="C468" s="3" t="str">
        <f t="shared" si="1"/>
        <v/>
      </c>
      <c r="D468" s="4"/>
      <c r="E468" s="5"/>
      <c r="F468" s="5"/>
      <c r="G468" s="1"/>
      <c r="H468" s="1"/>
      <c r="I468" s="1"/>
      <c r="J468" s="1"/>
      <c r="K468" s="1"/>
    </row>
    <row r="469" ht="15.75" customHeight="1">
      <c r="A469" s="1"/>
      <c r="B469" s="8"/>
      <c r="C469" s="3" t="str">
        <f t="shared" si="1"/>
        <v/>
      </c>
      <c r="D469" s="4"/>
      <c r="E469" s="5"/>
      <c r="F469" s="5"/>
      <c r="G469" s="1"/>
      <c r="H469" s="1"/>
      <c r="I469" s="1"/>
      <c r="J469" s="1"/>
      <c r="K469" s="1"/>
    </row>
    <row r="470" ht="15.75" customHeight="1">
      <c r="A470" s="1"/>
      <c r="B470" s="8"/>
      <c r="C470" s="3" t="str">
        <f t="shared" si="1"/>
        <v/>
      </c>
      <c r="D470" s="4"/>
      <c r="E470" s="5"/>
      <c r="F470" s="5"/>
      <c r="G470" s="1"/>
      <c r="H470" s="1"/>
      <c r="I470" s="1"/>
      <c r="J470" s="1"/>
      <c r="K470" s="1"/>
    </row>
    <row r="471" ht="15.75" customHeight="1">
      <c r="A471" s="1"/>
      <c r="B471" s="8"/>
      <c r="C471" s="3" t="str">
        <f t="shared" si="1"/>
        <v/>
      </c>
      <c r="D471" s="4"/>
      <c r="E471" s="5"/>
      <c r="F471" s="5"/>
      <c r="G471" s="1"/>
      <c r="H471" s="1"/>
      <c r="I471" s="1"/>
      <c r="J471" s="1"/>
      <c r="K471" s="1"/>
    </row>
    <row r="472" ht="15.75" customHeight="1">
      <c r="A472" s="1"/>
      <c r="B472" s="8"/>
      <c r="C472" s="3" t="str">
        <f t="shared" si="1"/>
        <v/>
      </c>
      <c r="D472" s="4"/>
      <c r="E472" s="5"/>
      <c r="F472" s="5"/>
      <c r="G472" s="1"/>
      <c r="H472" s="1"/>
      <c r="I472" s="1"/>
      <c r="J472" s="1"/>
      <c r="K472" s="1"/>
    </row>
    <row r="473" ht="15.75" customHeight="1">
      <c r="A473" s="1"/>
      <c r="B473" s="8"/>
      <c r="C473" s="3" t="str">
        <f t="shared" si="1"/>
        <v/>
      </c>
      <c r="D473" s="4"/>
      <c r="E473" s="5"/>
      <c r="F473" s="5"/>
      <c r="G473" s="1"/>
      <c r="H473" s="1"/>
      <c r="I473" s="1"/>
      <c r="J473" s="1"/>
      <c r="K473" s="1"/>
    </row>
    <row r="474" ht="15.75" customHeight="1">
      <c r="A474" s="1"/>
      <c r="B474" s="8"/>
      <c r="C474" s="3" t="str">
        <f t="shared" si="1"/>
        <v/>
      </c>
      <c r="D474" s="4"/>
      <c r="E474" s="5"/>
      <c r="F474" s="5"/>
      <c r="G474" s="1"/>
      <c r="H474" s="1"/>
      <c r="I474" s="1"/>
      <c r="J474" s="1"/>
      <c r="K474" s="1"/>
    </row>
    <row r="475" ht="15.75" customHeight="1">
      <c r="A475" s="1"/>
      <c r="B475" s="8"/>
      <c r="C475" s="3" t="str">
        <f t="shared" si="1"/>
        <v/>
      </c>
      <c r="D475" s="4"/>
      <c r="E475" s="5"/>
      <c r="F475" s="5"/>
      <c r="G475" s="1"/>
      <c r="H475" s="1"/>
      <c r="I475" s="1"/>
      <c r="J475" s="1"/>
      <c r="K475" s="1"/>
    </row>
    <row r="476" ht="15.75" customHeight="1">
      <c r="A476" s="1"/>
      <c r="B476" s="8"/>
      <c r="C476" s="3" t="str">
        <f t="shared" si="1"/>
        <v/>
      </c>
      <c r="D476" s="4"/>
      <c r="E476" s="5"/>
      <c r="F476" s="5"/>
      <c r="G476" s="1"/>
      <c r="H476" s="1"/>
      <c r="I476" s="1"/>
      <c r="J476" s="1"/>
      <c r="K476" s="1"/>
    </row>
    <row r="477" ht="15.75" customHeight="1">
      <c r="A477" s="1"/>
      <c r="B477" s="8"/>
      <c r="C477" s="3" t="str">
        <f t="shared" si="1"/>
        <v/>
      </c>
      <c r="D477" s="4"/>
      <c r="E477" s="5"/>
      <c r="F477" s="5"/>
      <c r="G477" s="1"/>
      <c r="H477" s="1"/>
      <c r="I477" s="1"/>
      <c r="J477" s="1"/>
      <c r="K477" s="1"/>
    </row>
    <row r="478" ht="15.75" customHeight="1">
      <c r="A478" s="1"/>
      <c r="B478" s="8"/>
      <c r="C478" s="3" t="str">
        <f t="shared" si="1"/>
        <v/>
      </c>
      <c r="D478" s="4"/>
      <c r="E478" s="5"/>
      <c r="F478" s="5"/>
      <c r="G478" s="1"/>
      <c r="H478" s="1"/>
      <c r="I478" s="1"/>
      <c r="J478" s="1"/>
      <c r="K478" s="1"/>
    </row>
    <row r="479" ht="15.75" customHeight="1">
      <c r="A479" s="1"/>
      <c r="B479" s="8"/>
      <c r="C479" s="3" t="str">
        <f t="shared" si="1"/>
        <v/>
      </c>
      <c r="D479" s="4"/>
      <c r="E479" s="5"/>
      <c r="F479" s="5"/>
      <c r="G479" s="1"/>
      <c r="H479" s="1"/>
      <c r="I479" s="1"/>
      <c r="J479" s="1"/>
      <c r="K479" s="1"/>
    </row>
    <row r="480" ht="15.75" customHeight="1">
      <c r="A480" s="1"/>
      <c r="B480" s="8"/>
      <c r="C480" s="3" t="str">
        <f t="shared" si="1"/>
        <v/>
      </c>
      <c r="D480" s="4"/>
      <c r="E480" s="5"/>
      <c r="F480" s="5"/>
      <c r="G480" s="1"/>
      <c r="H480" s="1"/>
      <c r="I480" s="1"/>
      <c r="J480" s="1"/>
      <c r="K480" s="1"/>
    </row>
    <row r="481" ht="15.75" customHeight="1">
      <c r="A481" s="1"/>
      <c r="B481" s="8"/>
      <c r="C481" s="3" t="str">
        <f t="shared" si="1"/>
        <v/>
      </c>
      <c r="D481" s="4"/>
      <c r="E481" s="5"/>
      <c r="F481" s="5"/>
      <c r="G481" s="1"/>
      <c r="H481" s="1"/>
      <c r="I481" s="1"/>
      <c r="J481" s="1"/>
      <c r="K481" s="1"/>
    </row>
    <row r="482" ht="15.75" customHeight="1">
      <c r="A482" s="1"/>
      <c r="B482" s="8"/>
      <c r="C482" s="3" t="str">
        <f t="shared" si="1"/>
        <v/>
      </c>
      <c r="D482" s="4"/>
      <c r="E482" s="5"/>
      <c r="F482" s="5"/>
      <c r="G482" s="1"/>
      <c r="H482" s="1"/>
      <c r="I482" s="1"/>
      <c r="J482" s="1"/>
      <c r="K482" s="1"/>
    </row>
    <row r="483" ht="15.75" customHeight="1">
      <c r="A483" s="1"/>
      <c r="B483" s="8"/>
      <c r="C483" s="3" t="str">
        <f t="shared" si="1"/>
        <v/>
      </c>
      <c r="D483" s="4"/>
      <c r="E483" s="5"/>
      <c r="F483" s="5"/>
      <c r="G483" s="1"/>
      <c r="H483" s="1"/>
      <c r="I483" s="1"/>
      <c r="J483" s="1"/>
      <c r="K483" s="1"/>
    </row>
    <row r="484" ht="15.75" customHeight="1">
      <c r="A484" s="1"/>
      <c r="B484" s="8"/>
      <c r="C484" s="3" t="str">
        <f t="shared" si="1"/>
        <v/>
      </c>
      <c r="D484" s="4"/>
      <c r="E484" s="5"/>
      <c r="F484" s="5"/>
      <c r="G484" s="1"/>
      <c r="H484" s="1"/>
      <c r="I484" s="1"/>
      <c r="J484" s="1"/>
      <c r="K484" s="1"/>
    </row>
    <row r="485" ht="15.75" customHeight="1">
      <c r="A485" s="1"/>
      <c r="B485" s="8"/>
      <c r="C485" s="3" t="str">
        <f t="shared" si="1"/>
        <v/>
      </c>
      <c r="D485" s="4"/>
      <c r="E485" s="5"/>
      <c r="F485" s="5"/>
      <c r="G485" s="1"/>
      <c r="H485" s="1"/>
      <c r="I485" s="1"/>
      <c r="J485" s="1"/>
      <c r="K485" s="1"/>
    </row>
    <row r="486" ht="15.75" customHeight="1">
      <c r="A486" s="1"/>
      <c r="B486" s="8"/>
      <c r="C486" s="3" t="str">
        <f t="shared" si="1"/>
        <v/>
      </c>
      <c r="D486" s="4"/>
      <c r="E486" s="5"/>
      <c r="F486" s="5"/>
      <c r="G486" s="1"/>
      <c r="H486" s="1"/>
      <c r="I486" s="1"/>
      <c r="J486" s="1"/>
      <c r="K486" s="1"/>
    </row>
    <row r="487" ht="15.75" customHeight="1">
      <c r="A487" s="1"/>
      <c r="B487" s="8"/>
      <c r="C487" s="3" t="str">
        <f t="shared" si="1"/>
        <v/>
      </c>
      <c r="D487" s="4"/>
      <c r="E487" s="5"/>
      <c r="F487" s="5"/>
      <c r="G487" s="1"/>
      <c r="H487" s="1"/>
      <c r="I487" s="1"/>
      <c r="J487" s="1"/>
      <c r="K487" s="1"/>
    </row>
    <row r="488" ht="15.75" customHeight="1">
      <c r="A488" s="1"/>
      <c r="B488" s="8"/>
      <c r="C488" s="3" t="str">
        <f t="shared" si="1"/>
        <v/>
      </c>
      <c r="D488" s="4"/>
      <c r="E488" s="5"/>
      <c r="F488" s="5"/>
      <c r="G488" s="1"/>
      <c r="H488" s="1"/>
      <c r="I488" s="1"/>
      <c r="J488" s="1"/>
      <c r="K488" s="1"/>
    </row>
    <row r="489" ht="15.75" customHeight="1">
      <c r="A489" s="1"/>
      <c r="B489" s="8"/>
      <c r="C489" s="3" t="str">
        <f t="shared" si="1"/>
        <v/>
      </c>
      <c r="D489" s="4"/>
      <c r="E489" s="5"/>
      <c r="F489" s="5"/>
      <c r="G489" s="1"/>
      <c r="H489" s="1"/>
      <c r="I489" s="1"/>
      <c r="J489" s="1"/>
      <c r="K489" s="1"/>
    </row>
    <row r="490" ht="15.75" customHeight="1">
      <c r="A490" s="1"/>
      <c r="B490" s="8"/>
      <c r="C490" s="3" t="str">
        <f t="shared" si="1"/>
        <v/>
      </c>
      <c r="D490" s="4"/>
      <c r="E490" s="5"/>
      <c r="F490" s="5"/>
      <c r="G490" s="1"/>
      <c r="H490" s="1"/>
      <c r="I490" s="1"/>
      <c r="J490" s="1"/>
      <c r="K490" s="1"/>
    </row>
    <row r="491" ht="15.75" customHeight="1">
      <c r="A491" s="1"/>
      <c r="B491" s="8"/>
      <c r="C491" s="3" t="str">
        <f t="shared" si="1"/>
        <v/>
      </c>
      <c r="D491" s="4"/>
      <c r="E491" s="5"/>
      <c r="F491" s="5"/>
      <c r="G491" s="1"/>
      <c r="H491" s="1"/>
      <c r="I491" s="1"/>
      <c r="J491" s="1"/>
      <c r="K491" s="1"/>
    </row>
    <row r="492" ht="15.75" customHeight="1">
      <c r="A492" s="1"/>
      <c r="B492" s="8"/>
      <c r="C492" s="3" t="str">
        <f t="shared" si="1"/>
        <v/>
      </c>
      <c r="D492" s="4"/>
      <c r="E492" s="5"/>
      <c r="F492" s="5"/>
      <c r="G492" s="1"/>
      <c r="H492" s="1"/>
      <c r="I492" s="1"/>
      <c r="J492" s="1"/>
      <c r="K492" s="1"/>
    </row>
    <row r="493" ht="15.75" customHeight="1">
      <c r="A493" s="1"/>
      <c r="B493" s="8"/>
      <c r="C493" s="3" t="str">
        <f t="shared" si="1"/>
        <v/>
      </c>
      <c r="D493" s="4"/>
      <c r="E493" s="5"/>
      <c r="F493" s="5"/>
      <c r="G493" s="1"/>
      <c r="H493" s="1"/>
      <c r="I493" s="1"/>
      <c r="J493" s="1"/>
      <c r="K493" s="1"/>
    </row>
    <row r="494" ht="15.75" customHeight="1">
      <c r="A494" s="1"/>
      <c r="B494" s="8"/>
      <c r="C494" s="3" t="str">
        <f t="shared" si="1"/>
        <v/>
      </c>
      <c r="D494" s="4"/>
      <c r="E494" s="5"/>
      <c r="F494" s="5"/>
      <c r="G494" s="1"/>
      <c r="H494" s="1"/>
      <c r="I494" s="1"/>
      <c r="J494" s="1"/>
      <c r="K494" s="1"/>
    </row>
    <row r="495" ht="15.75" customHeight="1">
      <c r="A495" s="1"/>
      <c r="B495" s="8"/>
      <c r="C495" s="3" t="str">
        <f t="shared" si="1"/>
        <v/>
      </c>
      <c r="D495" s="4"/>
      <c r="E495" s="5"/>
      <c r="F495" s="5"/>
      <c r="G495" s="1"/>
      <c r="H495" s="1"/>
      <c r="I495" s="1"/>
      <c r="J495" s="1"/>
      <c r="K495" s="1"/>
    </row>
    <row r="496" ht="15.75" customHeight="1">
      <c r="A496" s="1"/>
      <c r="B496" s="8"/>
      <c r="C496" s="3" t="str">
        <f t="shared" si="1"/>
        <v/>
      </c>
      <c r="D496" s="4"/>
      <c r="E496" s="5"/>
      <c r="F496" s="5"/>
      <c r="G496" s="1"/>
      <c r="H496" s="1"/>
      <c r="I496" s="1"/>
      <c r="J496" s="1"/>
      <c r="K496" s="1"/>
    </row>
    <row r="497" ht="15.75" customHeight="1">
      <c r="A497" s="1"/>
      <c r="B497" s="8"/>
      <c r="C497" s="3" t="str">
        <f t="shared" si="1"/>
        <v/>
      </c>
      <c r="D497" s="4"/>
      <c r="E497" s="5"/>
      <c r="F497" s="5"/>
      <c r="G497" s="1"/>
      <c r="H497" s="1"/>
      <c r="I497" s="1"/>
      <c r="J497" s="1"/>
      <c r="K497" s="1"/>
    </row>
    <row r="498" ht="15.75" customHeight="1">
      <c r="A498" s="1"/>
      <c r="B498" s="8"/>
      <c r="C498" s="3" t="str">
        <f t="shared" si="1"/>
        <v/>
      </c>
      <c r="D498" s="4"/>
      <c r="E498" s="5"/>
      <c r="F498" s="5"/>
      <c r="G498" s="1"/>
      <c r="H498" s="1"/>
      <c r="I498" s="1"/>
      <c r="J498" s="1"/>
      <c r="K498" s="1"/>
    </row>
    <row r="499" ht="15.75" customHeight="1">
      <c r="A499" s="1"/>
      <c r="B499" s="8"/>
      <c r="C499" s="3" t="str">
        <f t="shared" si="1"/>
        <v/>
      </c>
      <c r="D499" s="4"/>
      <c r="E499" s="5"/>
      <c r="F499" s="5"/>
      <c r="G499" s="1"/>
      <c r="H499" s="1"/>
      <c r="I499" s="1"/>
      <c r="J499" s="1"/>
      <c r="K499" s="1"/>
    </row>
    <row r="500" ht="15.75" customHeight="1">
      <c r="A500" s="1"/>
      <c r="B500" s="8"/>
      <c r="C500" s="3" t="str">
        <f t="shared" si="1"/>
        <v/>
      </c>
      <c r="D500" s="4"/>
      <c r="E500" s="5"/>
      <c r="F500" s="5"/>
      <c r="G500" s="1"/>
      <c r="H500" s="1"/>
      <c r="I500" s="1"/>
      <c r="J500" s="1"/>
      <c r="K500" s="1"/>
    </row>
    <row r="501" ht="15.75" customHeight="1">
      <c r="A501" s="1"/>
      <c r="B501" s="8"/>
      <c r="C501" s="3" t="str">
        <f t="shared" si="1"/>
        <v/>
      </c>
      <c r="D501" s="4"/>
      <c r="E501" s="5"/>
      <c r="F501" s="5"/>
      <c r="G501" s="1"/>
      <c r="H501" s="1"/>
      <c r="I501" s="1"/>
      <c r="J501" s="1"/>
      <c r="K501" s="1"/>
    </row>
    <row r="502" ht="15.75" customHeight="1">
      <c r="A502" s="1"/>
      <c r="B502" s="8"/>
      <c r="C502" s="3" t="str">
        <f t="shared" si="1"/>
        <v/>
      </c>
      <c r="D502" s="4"/>
      <c r="E502" s="5"/>
      <c r="F502" s="5"/>
      <c r="G502" s="1"/>
      <c r="H502" s="1"/>
      <c r="I502" s="1"/>
      <c r="J502" s="1"/>
      <c r="K502" s="1"/>
    </row>
    <row r="503" ht="15.75" customHeight="1">
      <c r="A503" s="1"/>
      <c r="B503" s="8"/>
      <c r="C503" s="3" t="str">
        <f t="shared" si="1"/>
        <v/>
      </c>
      <c r="D503" s="4"/>
      <c r="E503" s="5"/>
      <c r="F503" s="5"/>
      <c r="G503" s="1"/>
      <c r="H503" s="1"/>
      <c r="I503" s="1"/>
      <c r="J503" s="1"/>
      <c r="K503" s="1"/>
    </row>
    <row r="504" ht="15.75" customHeight="1">
      <c r="A504" s="1"/>
      <c r="B504" s="8"/>
      <c r="C504" s="3" t="str">
        <f t="shared" si="1"/>
        <v/>
      </c>
      <c r="D504" s="4"/>
      <c r="E504" s="5"/>
      <c r="F504" s="5"/>
      <c r="G504" s="1"/>
      <c r="H504" s="1"/>
      <c r="I504" s="1"/>
      <c r="J504" s="1"/>
      <c r="K504" s="1"/>
    </row>
    <row r="505" ht="15.75" customHeight="1">
      <c r="A505" s="1"/>
      <c r="B505" s="8"/>
      <c r="C505" s="3" t="str">
        <f t="shared" si="1"/>
        <v/>
      </c>
      <c r="D505" s="4"/>
      <c r="E505" s="5"/>
      <c r="F505" s="5"/>
      <c r="G505" s="1"/>
      <c r="H505" s="1"/>
      <c r="I505" s="1"/>
      <c r="J505" s="1"/>
      <c r="K505" s="1"/>
    </row>
    <row r="506" ht="15.75" customHeight="1">
      <c r="A506" s="1"/>
      <c r="B506" s="8"/>
      <c r="C506" s="3" t="str">
        <f t="shared" si="1"/>
        <v/>
      </c>
      <c r="D506" s="4"/>
      <c r="E506" s="5"/>
      <c r="F506" s="5"/>
      <c r="G506" s="1"/>
      <c r="H506" s="1"/>
      <c r="I506" s="1"/>
      <c r="J506" s="1"/>
      <c r="K506" s="1"/>
    </row>
    <row r="507" ht="15.75" customHeight="1">
      <c r="A507" s="1"/>
      <c r="B507" s="8"/>
      <c r="C507" s="3" t="str">
        <f t="shared" si="1"/>
        <v/>
      </c>
      <c r="D507" s="4"/>
      <c r="E507" s="5"/>
      <c r="F507" s="5"/>
      <c r="G507" s="1"/>
      <c r="H507" s="1"/>
      <c r="I507" s="1"/>
      <c r="J507" s="1"/>
      <c r="K507" s="1"/>
    </row>
    <row r="508" ht="15.75" customHeight="1">
      <c r="A508" s="1"/>
      <c r="B508" s="8"/>
      <c r="C508" s="3" t="str">
        <f t="shared" si="1"/>
        <v/>
      </c>
      <c r="D508" s="4"/>
      <c r="E508" s="5"/>
      <c r="F508" s="5"/>
      <c r="G508" s="1"/>
      <c r="H508" s="1"/>
      <c r="I508" s="1"/>
      <c r="J508" s="1"/>
      <c r="K508" s="1"/>
    </row>
    <row r="509" ht="15.75" customHeight="1">
      <c r="A509" s="1"/>
      <c r="B509" s="8"/>
      <c r="C509" s="3" t="str">
        <f t="shared" si="1"/>
        <v/>
      </c>
      <c r="D509" s="4"/>
      <c r="E509" s="5"/>
      <c r="F509" s="5"/>
      <c r="G509" s="1"/>
      <c r="H509" s="1"/>
      <c r="I509" s="1"/>
      <c r="J509" s="1"/>
      <c r="K509" s="1"/>
    </row>
    <row r="510" ht="15.75" customHeight="1">
      <c r="A510" s="1"/>
      <c r="B510" s="8"/>
      <c r="C510" s="3" t="str">
        <f t="shared" si="1"/>
        <v/>
      </c>
      <c r="D510" s="4"/>
      <c r="E510" s="5"/>
      <c r="F510" s="5"/>
      <c r="G510" s="1"/>
      <c r="H510" s="1"/>
      <c r="I510" s="1"/>
      <c r="J510" s="1"/>
      <c r="K510" s="1"/>
    </row>
    <row r="511" ht="15.75" customHeight="1">
      <c r="A511" s="1"/>
      <c r="B511" s="8"/>
      <c r="C511" s="3" t="str">
        <f t="shared" si="1"/>
        <v/>
      </c>
      <c r="D511" s="4"/>
      <c r="E511" s="5"/>
      <c r="F511" s="5"/>
      <c r="G511" s="1"/>
      <c r="H511" s="1"/>
      <c r="I511" s="1"/>
      <c r="J511" s="1"/>
      <c r="K511" s="1"/>
    </row>
    <row r="512" ht="15.75" customHeight="1">
      <c r="A512" s="1"/>
      <c r="B512" s="8"/>
      <c r="C512" s="3" t="str">
        <f t="shared" si="1"/>
        <v/>
      </c>
      <c r="D512" s="4"/>
      <c r="E512" s="5"/>
      <c r="F512" s="5"/>
      <c r="G512" s="1"/>
      <c r="H512" s="1"/>
      <c r="I512" s="1"/>
      <c r="J512" s="1"/>
      <c r="K512" s="1"/>
    </row>
    <row r="513" ht="15.75" customHeight="1">
      <c r="A513" s="1"/>
      <c r="B513" s="8"/>
      <c r="C513" s="3" t="str">
        <f t="shared" si="1"/>
        <v/>
      </c>
      <c r="D513" s="4"/>
      <c r="E513" s="5"/>
      <c r="F513" s="5"/>
      <c r="G513" s="1"/>
      <c r="H513" s="1"/>
      <c r="I513" s="1"/>
      <c r="J513" s="1"/>
      <c r="K513" s="1"/>
    </row>
    <row r="514" ht="15.75" customHeight="1">
      <c r="A514" s="1"/>
      <c r="B514" s="8"/>
      <c r="C514" s="3" t="str">
        <f t="shared" si="1"/>
        <v/>
      </c>
      <c r="D514" s="4"/>
      <c r="E514" s="5"/>
      <c r="F514" s="5"/>
      <c r="G514" s="1"/>
      <c r="H514" s="1"/>
      <c r="I514" s="1"/>
      <c r="J514" s="1"/>
      <c r="K514" s="1"/>
    </row>
    <row r="515" ht="15.75" customHeight="1">
      <c r="A515" s="1"/>
      <c r="B515" s="8"/>
      <c r="C515" s="3" t="str">
        <f t="shared" si="1"/>
        <v/>
      </c>
      <c r="D515" s="4"/>
      <c r="E515" s="5"/>
      <c r="F515" s="5"/>
      <c r="G515" s="1"/>
      <c r="H515" s="1"/>
      <c r="I515" s="1"/>
      <c r="J515" s="1"/>
      <c r="K515" s="1"/>
    </row>
    <row r="516" ht="15.75" customHeight="1">
      <c r="A516" s="1"/>
      <c r="B516" s="8"/>
      <c r="C516" s="3" t="str">
        <f t="shared" si="1"/>
        <v/>
      </c>
      <c r="D516" s="4"/>
      <c r="E516" s="5"/>
      <c r="F516" s="5"/>
      <c r="G516" s="1"/>
      <c r="H516" s="1"/>
      <c r="I516" s="1"/>
      <c r="J516" s="1"/>
      <c r="K516" s="1"/>
    </row>
    <row r="517" ht="15.75" customHeight="1">
      <c r="A517" s="1"/>
      <c r="B517" s="8"/>
      <c r="C517" s="3" t="str">
        <f t="shared" si="1"/>
        <v/>
      </c>
      <c r="D517" s="4"/>
      <c r="E517" s="5"/>
      <c r="F517" s="5"/>
      <c r="G517" s="1"/>
      <c r="H517" s="1"/>
      <c r="I517" s="1"/>
      <c r="J517" s="1"/>
      <c r="K517" s="1"/>
    </row>
    <row r="518" ht="15.75" customHeight="1">
      <c r="A518" s="1"/>
      <c r="B518" s="8"/>
      <c r="C518" s="3" t="str">
        <f t="shared" si="1"/>
        <v/>
      </c>
      <c r="D518" s="4"/>
      <c r="E518" s="5"/>
      <c r="F518" s="5"/>
      <c r="G518" s="1"/>
      <c r="H518" s="1"/>
      <c r="I518" s="1"/>
      <c r="J518" s="1"/>
      <c r="K518" s="1"/>
    </row>
    <row r="519" ht="15.75" customHeight="1">
      <c r="A519" s="1"/>
      <c r="B519" s="8"/>
      <c r="C519" s="3" t="str">
        <f t="shared" si="1"/>
        <v/>
      </c>
      <c r="D519" s="4"/>
      <c r="E519" s="5"/>
      <c r="F519" s="5"/>
      <c r="G519" s="1"/>
      <c r="H519" s="1"/>
      <c r="I519" s="1"/>
      <c r="J519" s="1"/>
      <c r="K519" s="1"/>
    </row>
    <row r="520" ht="15.75" customHeight="1">
      <c r="A520" s="1"/>
      <c r="B520" s="8"/>
      <c r="C520" s="3" t="str">
        <f t="shared" si="1"/>
        <v/>
      </c>
      <c r="D520" s="4"/>
      <c r="E520" s="5"/>
      <c r="F520" s="5"/>
      <c r="G520" s="1"/>
      <c r="H520" s="1"/>
      <c r="I520" s="1"/>
      <c r="J520" s="1"/>
      <c r="K520" s="1"/>
    </row>
    <row r="521" ht="15.75" customHeight="1">
      <c r="A521" s="1"/>
      <c r="B521" s="8"/>
      <c r="C521" s="3" t="str">
        <f t="shared" si="1"/>
        <v/>
      </c>
      <c r="D521" s="4"/>
      <c r="E521" s="5"/>
      <c r="F521" s="5"/>
      <c r="G521" s="1"/>
      <c r="H521" s="1"/>
      <c r="I521" s="1"/>
      <c r="J521" s="1"/>
      <c r="K521" s="1"/>
    </row>
    <row r="522" ht="15.75" customHeight="1">
      <c r="A522" s="1"/>
      <c r="B522" s="8"/>
      <c r="C522" s="3" t="str">
        <f t="shared" si="1"/>
        <v/>
      </c>
      <c r="D522" s="4"/>
      <c r="E522" s="5"/>
      <c r="F522" s="5"/>
      <c r="G522" s="1"/>
      <c r="H522" s="1"/>
      <c r="I522" s="1"/>
      <c r="J522" s="1"/>
      <c r="K522" s="1"/>
    </row>
    <row r="523" ht="15.75" customHeight="1">
      <c r="A523" s="1"/>
      <c r="B523" s="8"/>
      <c r="C523" s="3" t="str">
        <f t="shared" si="1"/>
        <v/>
      </c>
      <c r="D523" s="4"/>
      <c r="E523" s="5"/>
      <c r="F523" s="5"/>
      <c r="G523" s="1"/>
      <c r="H523" s="1"/>
      <c r="I523" s="1"/>
      <c r="J523" s="1"/>
      <c r="K523" s="1"/>
    </row>
    <row r="524" ht="15.75" customHeight="1">
      <c r="A524" s="1"/>
      <c r="B524" s="8"/>
      <c r="C524" s="3" t="str">
        <f t="shared" si="1"/>
        <v/>
      </c>
      <c r="D524" s="4"/>
      <c r="E524" s="5"/>
      <c r="F524" s="5"/>
      <c r="G524" s="1"/>
      <c r="H524" s="1"/>
      <c r="I524" s="1"/>
      <c r="J524" s="1"/>
      <c r="K524" s="1"/>
    </row>
    <row r="525" ht="15.75" customHeight="1">
      <c r="A525" s="1"/>
      <c r="B525" s="8"/>
      <c r="C525" s="3" t="str">
        <f t="shared" si="1"/>
        <v/>
      </c>
      <c r="D525" s="4"/>
      <c r="E525" s="5"/>
      <c r="F525" s="5"/>
      <c r="G525" s="1"/>
      <c r="H525" s="1"/>
      <c r="I525" s="1"/>
      <c r="J525" s="1"/>
      <c r="K525" s="1"/>
    </row>
    <row r="526" ht="15.75" customHeight="1">
      <c r="A526" s="1"/>
      <c r="B526" s="8"/>
      <c r="C526" s="3" t="str">
        <f t="shared" si="1"/>
        <v/>
      </c>
      <c r="D526" s="4"/>
      <c r="E526" s="5"/>
      <c r="F526" s="5"/>
      <c r="G526" s="1"/>
      <c r="H526" s="1"/>
      <c r="I526" s="1"/>
      <c r="J526" s="1"/>
      <c r="K526" s="1"/>
    </row>
    <row r="527" ht="15.75" customHeight="1">
      <c r="A527" s="1"/>
      <c r="B527" s="8"/>
      <c r="C527" s="3" t="str">
        <f t="shared" si="1"/>
        <v/>
      </c>
      <c r="D527" s="4"/>
      <c r="E527" s="5"/>
      <c r="F527" s="5"/>
      <c r="G527" s="1"/>
      <c r="H527" s="1"/>
      <c r="I527" s="1"/>
      <c r="J527" s="1"/>
      <c r="K527" s="1"/>
    </row>
    <row r="528" ht="15.75" customHeight="1">
      <c r="A528" s="1"/>
      <c r="B528" s="8"/>
      <c r="C528" s="3" t="str">
        <f t="shared" si="1"/>
        <v/>
      </c>
      <c r="D528" s="4"/>
      <c r="E528" s="5"/>
      <c r="F528" s="5"/>
      <c r="G528" s="1"/>
      <c r="H528" s="1"/>
      <c r="I528" s="1"/>
      <c r="J528" s="1"/>
      <c r="K528" s="1"/>
    </row>
    <row r="529" ht="15.75" customHeight="1">
      <c r="A529" s="1"/>
      <c r="B529" s="8"/>
      <c r="C529" s="3" t="str">
        <f t="shared" si="1"/>
        <v/>
      </c>
      <c r="D529" s="4"/>
      <c r="E529" s="5"/>
      <c r="F529" s="5"/>
      <c r="G529" s="1"/>
      <c r="H529" s="1"/>
      <c r="I529" s="1"/>
      <c r="J529" s="1"/>
      <c r="K529" s="1"/>
    </row>
    <row r="530" ht="15.75" customHeight="1">
      <c r="A530" s="1"/>
      <c r="B530" s="8"/>
      <c r="C530" s="3" t="str">
        <f t="shared" si="1"/>
        <v/>
      </c>
      <c r="D530" s="4"/>
      <c r="E530" s="5"/>
      <c r="F530" s="5"/>
      <c r="G530" s="1"/>
      <c r="H530" s="1"/>
      <c r="I530" s="1"/>
      <c r="J530" s="1"/>
      <c r="K530" s="1"/>
    </row>
    <row r="531" ht="15.75" customHeight="1">
      <c r="A531" s="1"/>
      <c r="B531" s="8"/>
      <c r="C531" s="3" t="str">
        <f t="shared" si="1"/>
        <v/>
      </c>
      <c r="D531" s="4"/>
      <c r="E531" s="5"/>
      <c r="F531" s="5"/>
      <c r="G531" s="1"/>
      <c r="H531" s="1"/>
      <c r="I531" s="1"/>
      <c r="J531" s="1"/>
      <c r="K531" s="1"/>
    </row>
    <row r="532" ht="15.75" customHeight="1">
      <c r="A532" s="1"/>
      <c r="B532" s="8"/>
      <c r="C532" s="3" t="str">
        <f t="shared" si="1"/>
        <v/>
      </c>
      <c r="D532" s="4"/>
      <c r="E532" s="5"/>
      <c r="F532" s="5"/>
      <c r="G532" s="1"/>
      <c r="H532" s="1"/>
      <c r="I532" s="1"/>
      <c r="J532" s="1"/>
      <c r="K532" s="1"/>
    </row>
    <row r="533" ht="15.75" customHeight="1">
      <c r="A533" s="1"/>
      <c r="B533" s="8"/>
      <c r="C533" s="3" t="str">
        <f t="shared" si="1"/>
        <v/>
      </c>
      <c r="D533" s="4"/>
      <c r="E533" s="5"/>
      <c r="F533" s="5"/>
      <c r="G533" s="1"/>
      <c r="H533" s="1"/>
      <c r="I533" s="1"/>
      <c r="J533" s="1"/>
      <c r="K533" s="1"/>
    </row>
    <row r="534" ht="15.75" customHeight="1">
      <c r="A534" s="1"/>
      <c r="B534" s="8"/>
      <c r="C534" s="3" t="str">
        <f t="shared" si="1"/>
        <v/>
      </c>
      <c r="D534" s="4"/>
      <c r="E534" s="5"/>
      <c r="F534" s="5"/>
      <c r="G534" s="1"/>
      <c r="H534" s="1"/>
      <c r="I534" s="1"/>
      <c r="J534" s="1"/>
      <c r="K534" s="1"/>
    </row>
    <row r="535" ht="15.75" customHeight="1">
      <c r="A535" s="1"/>
      <c r="B535" s="8"/>
      <c r="C535" s="3" t="str">
        <f t="shared" si="1"/>
        <v/>
      </c>
      <c r="D535" s="4"/>
      <c r="E535" s="5"/>
      <c r="F535" s="5"/>
      <c r="G535" s="1"/>
      <c r="H535" s="1"/>
      <c r="I535" s="1"/>
      <c r="J535" s="1"/>
      <c r="K535" s="1"/>
    </row>
    <row r="536" ht="15.75" customHeight="1">
      <c r="A536" s="1"/>
      <c r="B536" s="8"/>
      <c r="C536" s="3" t="str">
        <f t="shared" si="1"/>
        <v/>
      </c>
      <c r="D536" s="4"/>
      <c r="E536" s="5"/>
      <c r="F536" s="5"/>
      <c r="G536" s="1"/>
      <c r="H536" s="1"/>
      <c r="I536" s="1"/>
      <c r="J536" s="1"/>
      <c r="K536" s="1"/>
    </row>
    <row r="537" ht="15.75" customHeight="1">
      <c r="A537" s="1"/>
      <c r="B537" s="8"/>
      <c r="C537" s="3" t="str">
        <f t="shared" si="1"/>
        <v/>
      </c>
      <c r="D537" s="4"/>
      <c r="E537" s="5"/>
      <c r="F537" s="5"/>
      <c r="G537" s="1"/>
      <c r="H537" s="1"/>
      <c r="I537" s="1"/>
      <c r="J537" s="1"/>
      <c r="K537" s="1"/>
    </row>
    <row r="538" ht="15.75" customHeight="1">
      <c r="A538" s="1"/>
      <c r="B538" s="8"/>
      <c r="C538" s="3" t="str">
        <f t="shared" si="1"/>
        <v/>
      </c>
      <c r="D538" s="4"/>
      <c r="E538" s="5"/>
      <c r="F538" s="5"/>
      <c r="G538" s="1"/>
      <c r="H538" s="1"/>
      <c r="I538" s="1"/>
      <c r="J538" s="1"/>
      <c r="K538" s="1"/>
    </row>
    <row r="539" ht="15.75" customHeight="1">
      <c r="A539" s="1"/>
      <c r="B539" s="8"/>
      <c r="C539" s="3" t="str">
        <f t="shared" si="1"/>
        <v/>
      </c>
      <c r="D539" s="4"/>
      <c r="E539" s="5"/>
      <c r="F539" s="5"/>
      <c r="G539" s="1"/>
      <c r="H539" s="1"/>
      <c r="I539" s="1"/>
      <c r="J539" s="1"/>
      <c r="K539" s="1"/>
    </row>
    <row r="540" ht="15.75" customHeight="1">
      <c r="A540" s="1"/>
      <c r="B540" s="8"/>
      <c r="C540" s="3" t="str">
        <f t="shared" si="1"/>
        <v/>
      </c>
      <c r="D540" s="4"/>
      <c r="E540" s="5"/>
      <c r="F540" s="5"/>
      <c r="G540" s="1"/>
      <c r="H540" s="1"/>
      <c r="I540" s="1"/>
      <c r="J540" s="1"/>
      <c r="K540" s="1"/>
    </row>
    <row r="541" ht="15.75" customHeight="1">
      <c r="A541" s="1"/>
      <c r="B541" s="8"/>
      <c r="C541" s="3" t="str">
        <f t="shared" si="1"/>
        <v/>
      </c>
      <c r="D541" s="4"/>
      <c r="E541" s="5"/>
      <c r="F541" s="5"/>
      <c r="G541" s="1"/>
      <c r="H541" s="1"/>
      <c r="I541" s="1"/>
      <c r="J541" s="1"/>
      <c r="K541" s="1"/>
    </row>
    <row r="542" ht="15.75" customHeight="1">
      <c r="A542" s="1"/>
      <c r="B542" s="8"/>
      <c r="C542" s="3" t="str">
        <f t="shared" si="1"/>
        <v/>
      </c>
      <c r="D542" s="4"/>
      <c r="E542" s="5"/>
      <c r="F542" s="5"/>
      <c r="G542" s="1"/>
      <c r="H542" s="1"/>
      <c r="I542" s="1"/>
      <c r="J542" s="1"/>
      <c r="K542" s="1"/>
    </row>
    <row r="543" ht="15.75" customHeight="1">
      <c r="A543" s="1"/>
      <c r="B543" s="8"/>
      <c r="C543" s="3" t="str">
        <f t="shared" si="1"/>
        <v/>
      </c>
      <c r="D543" s="4"/>
      <c r="E543" s="5"/>
      <c r="F543" s="5"/>
      <c r="G543" s="1"/>
      <c r="H543" s="1"/>
      <c r="I543" s="1"/>
      <c r="J543" s="1"/>
      <c r="K543" s="1"/>
    </row>
    <row r="544" ht="15.75" customHeight="1">
      <c r="A544" s="1"/>
      <c r="B544" s="8"/>
      <c r="C544" s="3" t="str">
        <f t="shared" si="1"/>
        <v/>
      </c>
      <c r="D544" s="4"/>
      <c r="E544" s="5"/>
      <c r="F544" s="5"/>
      <c r="G544" s="1"/>
      <c r="H544" s="1"/>
      <c r="I544" s="1"/>
      <c r="J544" s="1"/>
      <c r="K544" s="1"/>
    </row>
    <row r="545" ht="15.75" customHeight="1">
      <c r="A545" s="1"/>
      <c r="B545" s="8"/>
      <c r="C545" s="3" t="str">
        <f t="shared" si="1"/>
        <v/>
      </c>
      <c r="D545" s="4"/>
      <c r="E545" s="5"/>
      <c r="F545" s="5"/>
      <c r="G545" s="1"/>
      <c r="H545" s="1"/>
      <c r="I545" s="1"/>
      <c r="J545" s="1"/>
      <c r="K545" s="1"/>
    </row>
  </sheetData>
  <dataValidations>
    <dataValidation type="date" allowBlank="1" showInputMessage="1" prompt="01/01/2026 até 31/12/2026" sqref="B2:B47 B49:B198 B200:B240 B245:B545">
      <formula1>45992.0</formula1>
      <formula2>46417.0</formula2>
    </dataValidation>
    <dataValidation type="list" allowBlank="1" showInputMessage="1" prompt="Precione a seta para baixo - Selecione quantos forem necesário" sqref="E2:E38 E41:E47 E49:E55 E71 E132:E198 E200:E545">
      <formula1>#REF!</formula1>
    </dataValidation>
  </dataValidations>
  <printOptions/>
  <pageMargins bottom="0.787401575" footer="0.0" header="0.0" left="0.511811024" right="0.511811024" top="0.787401575"/>
  <pageSetup fitToHeight="0"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33"/>
    <col customWidth="1" min="2" max="8" width="16.67"/>
    <col customWidth="1" min="9" max="9" width="1.33"/>
    <col customWidth="1" min="10" max="10" width="7.44"/>
    <col customWidth="1" min="11" max="12" width="16.89"/>
  </cols>
  <sheetData>
    <row r="1">
      <c r="A1" s="16"/>
      <c r="B1" s="16"/>
      <c r="C1" s="16"/>
      <c r="D1" s="16"/>
      <c r="E1" s="16"/>
      <c r="F1" s="16"/>
      <c r="G1" s="16"/>
      <c r="H1" s="16"/>
      <c r="I1" s="16" t="s">
        <v>128</v>
      </c>
      <c r="J1" s="16"/>
      <c r="K1" s="16"/>
      <c r="L1" s="16"/>
    </row>
    <row r="2">
      <c r="A2" s="16"/>
      <c r="B2" s="17" t="str">
        <f>"Janeiro "&amp;AnoCalendário</f>
        <v>Janeiro 2026</v>
      </c>
      <c r="E2" s="18"/>
      <c r="F2" s="18"/>
      <c r="G2" s="18"/>
      <c r="H2" s="19"/>
      <c r="I2" s="16"/>
      <c r="J2" s="16"/>
      <c r="K2" s="16"/>
      <c r="L2" s="16"/>
    </row>
    <row r="3">
      <c r="A3" s="20"/>
      <c r="B3" s="21" t="str">
        <f>InícioDaSemana</f>
        <v>domingo</v>
      </c>
      <c r="C3" s="22" t="str">
        <f t="shared" ref="C3:H3" si="1">TEXT(C4,"dddd")</f>
        <v>Monday</v>
      </c>
      <c r="D3" s="22" t="str">
        <f t="shared" si="1"/>
        <v>Tuesday</v>
      </c>
      <c r="E3" s="22" t="str">
        <f t="shared" si="1"/>
        <v>Wednesday</v>
      </c>
      <c r="F3" s="22" t="str">
        <f t="shared" si="1"/>
        <v>Thursday</v>
      </c>
      <c r="G3" s="22" t="str">
        <f t="shared" si="1"/>
        <v>Friday</v>
      </c>
      <c r="H3" s="22" t="str">
        <f t="shared" si="1"/>
        <v>Saturday</v>
      </c>
      <c r="I3" s="20"/>
      <c r="J3" s="20"/>
      <c r="K3" s="23" t="s">
        <v>129</v>
      </c>
      <c r="L3" s="24"/>
    </row>
    <row r="4">
      <c r="A4" s="25"/>
      <c r="B4" s="26" t="str">
        <f t="array" ref="B4:H4">DiasESemanas+DATE(AnoCalendário,1,1)-WEEKDAY(DATE(AnoCalendário,1,1),(InícioDaSemana="segunda-feira")+1)+1</f>
        <v>28</v>
      </c>
      <c r="C4" s="27">
        <v>46020.0</v>
      </c>
      <c r="D4" s="27">
        <v>46021.0</v>
      </c>
      <c r="E4" s="27">
        <v>46022.0</v>
      </c>
      <c r="F4" s="27">
        <v>46023.0</v>
      </c>
      <c r="G4" s="27">
        <v>46024.0</v>
      </c>
      <c r="H4" s="27">
        <v>46025.0</v>
      </c>
      <c r="I4" s="25"/>
      <c r="J4" s="25"/>
      <c r="K4" s="28" t="s">
        <v>130</v>
      </c>
      <c r="L4" s="28" t="s">
        <v>131</v>
      </c>
    </row>
    <row r="5">
      <c r="A5" s="25"/>
      <c r="B5" s="29" t="str">
        <f>IFERROR(VLOOKUP(B4,'traspo ñ alterar'!$J$2:$M$500,2,FALSE),"")</f>
        <v/>
      </c>
      <c r="C5" s="30" t="str">
        <f>IFERROR(VLOOKUP(C4,'traspo ñ alterar'!$J$2:$M$500,2,FALSE),"")</f>
        <v/>
      </c>
      <c r="D5" s="30" t="str">
        <f>IFERROR(VLOOKUP(D4,'traspo ñ alterar'!$J$2:$M$500,2,FALSE),"")</f>
        <v/>
      </c>
      <c r="E5" s="30" t="str">
        <f>IFERROR(VLOOKUP(E4,'traspo ñ alterar'!$J$2:$M$500,2,FALSE),"")</f>
        <v>Reveillon cabeceira</v>
      </c>
      <c r="F5" s="30" t="str">
        <f>IFERROR(VLOOKUP(F4,'traspo ñ alterar'!$J$2:$M$500,2,FALSE),"")</f>
        <v/>
      </c>
      <c r="G5" s="31" t="str">
        <f>IFERROR(VLOOKUP(G4,'traspo ñ alterar'!$J$2:$M$500,2,FALSE),"")</f>
        <v>12 Dias de Clamor para 12 Meses de Milagres</v>
      </c>
      <c r="H5" s="31" t="str">
        <f>IFERROR(VLOOKUP(H4,'traspo ñ alterar'!$J$2:$M$500,2,FALSE),"")</f>
        <v>12 Dias de Clamor para 12 Meses de Milagres</v>
      </c>
      <c r="I5" s="25"/>
      <c r="J5" s="25"/>
      <c r="K5" s="32">
        <v>2026.0</v>
      </c>
      <c r="L5" s="32" t="s">
        <v>132</v>
      </c>
    </row>
    <row r="6">
      <c r="A6" s="25"/>
      <c r="B6" s="29" t="str">
        <f>IFERROR(VLOOKUP(B4,'traspo ñ alterar'!$J$2:$M$500,3,FALSE),"")</f>
        <v/>
      </c>
      <c r="C6" s="30" t="str">
        <f>IFERROR(VLOOKUP(C4,'traspo ñ alterar'!$J$2:$M$500,3,FALSE),"")</f>
        <v/>
      </c>
      <c r="D6" s="30" t="str">
        <f>IFERROR(VLOOKUP(D4,'traspo ñ alterar'!$J$2:$M$500,3,FALSE),"")</f>
        <v/>
      </c>
      <c r="E6" s="30" t="str">
        <f>IFERROR(VLOOKUP(E4,'traspo ñ alterar'!$J$2:$M$500,3,FALSE),"")</f>
        <v/>
      </c>
      <c r="F6" s="30" t="str">
        <f>IFERROR(VLOOKUP(F4,'traspo ñ alterar'!$J$2:$M$500,3,FALSE),"")</f>
        <v/>
      </c>
      <c r="G6" s="31" t="str">
        <f>IFERROR(VLOOKUP(G4,'traspo ñ alterar'!$J$2:$M$500,3,FALSE),"")</f>
        <v/>
      </c>
      <c r="H6" s="31" t="str">
        <f>IFERROR(VLOOKUP(H4,'traspo ñ alterar'!$J$2:$M$500,3,FALSE),"")</f>
        <v/>
      </c>
      <c r="I6" s="25"/>
      <c r="J6" s="25"/>
      <c r="K6" s="33"/>
      <c r="L6" s="33"/>
    </row>
    <row r="7">
      <c r="A7" s="25"/>
      <c r="B7" s="29" t="str">
        <f>IFERROR(VLOOKUP(B4,'traspo ñ alterar'!$J$2:$M$500,4,FALSE),"")</f>
        <v/>
      </c>
      <c r="C7" s="30" t="str">
        <f>IFERROR(VLOOKUP(C4,'traspo ñ alterar'!$J$2:$M$500,4,FALSE),"")</f>
        <v/>
      </c>
      <c r="D7" s="30" t="str">
        <f>IFERROR(VLOOKUP(D4,'traspo ñ alterar'!$J$2:$M$500,4,FALSE),"")</f>
        <v/>
      </c>
      <c r="E7" s="30" t="str">
        <f>IFERROR(VLOOKUP(E4,'traspo ñ alterar'!$J$2:$M$500,4,FALSE),"")</f>
        <v/>
      </c>
      <c r="F7" s="30" t="str">
        <f>IFERROR(VLOOKUP(F4,'traspo ñ alterar'!$J$2:$M$500,4,FALSE),"")</f>
        <v/>
      </c>
      <c r="G7" s="31" t="str">
        <f>IFERROR(VLOOKUP(G4,'traspo ñ alterar'!$J$2:$M$500,4,FALSE),"")</f>
        <v/>
      </c>
      <c r="H7" s="31" t="str">
        <f>IFERROR(VLOOKUP(H4,'traspo ñ alterar'!$J$2:$M$500,4,FALSE),"")</f>
        <v/>
      </c>
      <c r="I7" s="25"/>
      <c r="J7" s="25"/>
      <c r="K7" s="33"/>
      <c r="L7" s="33"/>
    </row>
    <row r="8">
      <c r="A8" s="25"/>
      <c r="B8" s="29" t="str">
        <f>IFERROR(VLOOKUP(B5,'traspo ñ alterar'!$J$2:$M$500,5,FALSE),"")</f>
        <v/>
      </c>
      <c r="C8" s="34"/>
      <c r="D8" s="34"/>
      <c r="E8" s="34"/>
      <c r="F8" s="34"/>
      <c r="G8" s="35"/>
      <c r="H8" s="35"/>
      <c r="I8" s="25"/>
      <c r="J8" s="25"/>
      <c r="K8" s="33"/>
      <c r="L8" s="33"/>
    </row>
    <row r="9">
      <c r="A9" s="25"/>
      <c r="B9" s="36" t="str">
        <f t="array" ref="B9:H9">DiasESemanas+DATE(AnoCalendário,1,1)-WEEKDAY(DATE(AnoCalendário,1,1),(InícioDaSemana="segunda-feira")+1)+8</f>
        <v>4</v>
      </c>
      <c r="C9" s="37">
        <v>46027.0</v>
      </c>
      <c r="D9" s="37">
        <v>46028.0</v>
      </c>
      <c r="E9" s="37">
        <v>46029.0</v>
      </c>
      <c r="F9" s="37">
        <v>46030.0</v>
      </c>
      <c r="G9" s="37">
        <v>46031.0</v>
      </c>
      <c r="H9" s="37">
        <v>46032.0</v>
      </c>
      <c r="I9" s="25"/>
      <c r="J9" s="25"/>
      <c r="K9" s="38"/>
      <c r="L9" s="38"/>
    </row>
    <row r="10">
      <c r="A10" s="25"/>
      <c r="B10" s="39" t="str">
        <f>IFERROR(VLOOKUP(B9,'traspo ñ alterar'!$J$2:$M$500,2,FALSE),"")</f>
        <v>12 Dias de Clamor para 12 Meses de Milagres</v>
      </c>
      <c r="C10" s="40" t="str">
        <f>IFERROR(VLOOKUP(C9,'traspo ñ alterar'!$J$2:$M$500,2,FALSE),"")</f>
        <v>12 Dias de Clamor para 12 Meses de Milagres</v>
      </c>
      <c r="D10" s="40" t="str">
        <f>IFERROR(VLOOKUP(D9,'traspo ñ alterar'!$J$2:$M$500,2,FALSE),"")</f>
        <v>12 Dias de Clamor para 12 Meses de Milagres</v>
      </c>
      <c r="E10" s="40" t="str">
        <f>IFERROR(VLOOKUP(E9,'traspo ñ alterar'!$J$2:$M$500,2,FALSE),"")</f>
        <v>12 Dias de Clamor para 12 Meses de Milagres</v>
      </c>
      <c r="F10" s="40" t="str">
        <f>IFERROR(VLOOKUP(F9,'traspo ñ alterar'!$J$2:$M$500,2,FALSE),"")</f>
        <v>12 Dias de Clamor para 12 Meses de Milagres</v>
      </c>
      <c r="G10" s="40" t="str">
        <f>IFERROR(VLOOKUP(G9,'traspo ñ alterar'!$J$2:$M$500,2,FALSE),"")</f>
        <v>12 Dias de Clamor para 12 Meses de Milagres</v>
      </c>
      <c r="H10" s="40" t="str">
        <f>IFERROR(VLOOKUP(H9,'traspo ñ alterar'!$J$2:$M$500,2,FALSE),"")</f>
        <v>12 Dias de Clamor para 12 Meses de Milagres</v>
      </c>
      <c r="I10" s="25"/>
      <c r="J10" s="25"/>
      <c r="K10" s="33"/>
      <c r="L10" s="33"/>
    </row>
    <row r="11">
      <c r="A11" s="25"/>
      <c r="B11" s="39" t="str">
        <f>IFERROR(VLOOKUP(B9,'traspo ñ alterar'!$J$2:$M$500,3,FALSE),"")</f>
        <v/>
      </c>
      <c r="C11" s="40" t="str">
        <f>IFERROR(VLOOKUP(C9,'traspo ñ alterar'!$J$2:$M$500,3,FALSE),"")</f>
        <v/>
      </c>
      <c r="D11" s="40" t="str">
        <f>IFERROR(VLOOKUP(D9,'traspo ñ alterar'!$J$2:$M$500,3,FALSE),"")</f>
        <v/>
      </c>
      <c r="E11" s="40" t="str">
        <f>IFERROR(VLOOKUP(E9,'traspo ñ alterar'!$J$2:$M$500,3,FALSE),"")</f>
        <v/>
      </c>
      <c r="F11" s="40" t="str">
        <f>IFERROR(VLOOKUP(F9,'traspo ñ alterar'!$J$2:$M$500,3,FALSE),"")</f>
        <v/>
      </c>
      <c r="G11" s="40" t="str">
        <f>IFERROR(VLOOKUP(G9,'traspo ñ alterar'!$J$2:$M$500,3,FALSE),"")</f>
        <v/>
      </c>
      <c r="H11" s="40" t="str">
        <f>IFERROR(VLOOKUP(H9,'traspo ñ alterar'!$J$2:$M$500,3,FALSE),"")</f>
        <v/>
      </c>
      <c r="I11" s="25"/>
      <c r="J11" s="25"/>
      <c r="K11" s="33"/>
      <c r="L11" s="33"/>
    </row>
    <row r="12">
      <c r="A12" s="25"/>
      <c r="B12" s="39" t="str">
        <f>IFERROR(VLOOKUP(B9,'traspo ñ alterar'!$J$2:$M$500,4,FALSE),"")</f>
        <v/>
      </c>
      <c r="C12" s="40" t="str">
        <f>IFERROR(VLOOKUP(C9,'traspo ñ alterar'!$J$2:$M$500,4,FALSE),"")</f>
        <v/>
      </c>
      <c r="D12" s="40" t="str">
        <f>IFERROR(VLOOKUP(D9,'traspo ñ alterar'!$J$2:$M$500,4,FALSE),"")</f>
        <v/>
      </c>
      <c r="E12" s="40" t="str">
        <f>IFERROR(VLOOKUP(E9,'traspo ñ alterar'!$J$2:$M$500,4,FALSE),"")</f>
        <v/>
      </c>
      <c r="F12" s="40" t="str">
        <f>IFERROR(VLOOKUP(F9,'traspo ñ alterar'!$J$2:$M$500,4,FALSE),"")</f>
        <v/>
      </c>
      <c r="G12" s="40" t="str">
        <f>IFERROR(VLOOKUP(G9,'traspo ñ alterar'!$J$2:$M$500,4,FALSE),"")</f>
        <v/>
      </c>
      <c r="H12" s="40" t="str">
        <f>IFERROR(VLOOKUP(H9,'traspo ñ alterar'!$J$2:$M$500,4,FALSE),"")</f>
        <v/>
      </c>
      <c r="I12" s="25"/>
      <c r="J12" s="25"/>
      <c r="K12" s="33"/>
      <c r="L12" s="33"/>
    </row>
    <row r="13">
      <c r="A13" s="25"/>
      <c r="B13" s="41" t="str">
        <f>IFERROR(VLOOKUP(B10,'traspo ñ alterar'!$J$2:$M$500,5,FALSE),"")</f>
        <v/>
      </c>
      <c r="C13" s="42"/>
      <c r="D13" s="42"/>
      <c r="E13" s="42"/>
      <c r="F13" s="42"/>
      <c r="G13" s="42"/>
      <c r="H13" s="42"/>
      <c r="I13" s="25"/>
      <c r="J13" s="25"/>
      <c r="K13" s="33"/>
      <c r="L13" s="33"/>
    </row>
    <row r="14">
      <c r="A14" s="25"/>
      <c r="B14" s="36" t="str">
        <f t="array" ref="B14:H14">DiasESemanas+DATE(AnoCalendário,1,1)-WEEKDAY(DATE(AnoCalendário,1,1),(InícioDaSemana="segunda-feira")+1)+15</f>
        <v>11</v>
      </c>
      <c r="C14" s="37">
        <v>46034.0</v>
      </c>
      <c r="D14" s="37">
        <v>46035.0</v>
      </c>
      <c r="E14" s="37">
        <v>46036.0</v>
      </c>
      <c r="F14" s="37">
        <v>46037.0</v>
      </c>
      <c r="G14" s="37">
        <v>46038.0</v>
      </c>
      <c r="H14" s="37">
        <v>46039.0</v>
      </c>
      <c r="I14" s="25"/>
      <c r="J14" s="25"/>
      <c r="K14" s="25"/>
      <c r="L14" s="25"/>
    </row>
    <row r="15">
      <c r="A15" s="25"/>
      <c r="B15" s="39" t="str">
        <f>IFERROR(VLOOKUP(B14,'traspo ñ alterar'!$J$2:$M$500,2,FALSE),"")</f>
        <v>12 Dias de Clamor para 12 Meses de Milagres</v>
      </c>
      <c r="C15" s="40" t="str">
        <f>IFERROR(VLOOKUP(C14,'traspo ñ alterar'!$J$2:$M$500,2,FALSE),"")</f>
        <v>12 Dias de Clamor para 12 Meses de Milagres</v>
      </c>
      <c r="D15" s="40" t="str">
        <f>IFERROR(VLOOKUP(D14,'traspo ñ alterar'!$J$2:$M$500,2,FALSE),"")</f>
        <v>12 Dias de Clamor para 12 Meses de Milagres</v>
      </c>
      <c r="E15" s="40" t="str">
        <f>IFERROR(VLOOKUP(E14,'traspo ñ alterar'!$J$2:$M$500,2,FALSE),"")</f>
        <v/>
      </c>
      <c r="F15" s="40" t="str">
        <f>IFERROR(VLOOKUP(F14,'traspo ñ alterar'!$J$2:$M$500,2,FALSE),"")</f>
        <v/>
      </c>
      <c r="G15" s="40" t="str">
        <f>IFERROR(VLOOKUP(G14,'traspo ñ alterar'!$J$2:$M$500,2,FALSE),"")</f>
        <v/>
      </c>
      <c r="H15" s="40" t="str">
        <f>IFERROR(VLOOKUP(H14,'traspo ñ alterar'!$J$2:$M$500,2,FALSE),"")</f>
        <v>Outnight</v>
      </c>
      <c r="I15" s="25"/>
      <c r="J15" s="25"/>
      <c r="K15" s="25"/>
      <c r="L15" s="25"/>
    </row>
    <row r="16">
      <c r="A16" s="25"/>
      <c r="B16" s="39" t="str">
        <f>IFERROR(VLOOKUP(B14,'traspo ñ alterar'!$J$2:$M$500,3,FALSE),"")</f>
        <v/>
      </c>
      <c r="C16" s="40" t="str">
        <f>IFERROR(VLOOKUP(C14,'traspo ñ alterar'!$J$2:$M$500,3,FALSE),"")</f>
        <v/>
      </c>
      <c r="D16" s="40" t="str">
        <f>IFERROR(VLOOKUP(D14,'traspo ñ alterar'!$J$2:$M$500,3,FALSE),"")</f>
        <v/>
      </c>
      <c r="E16" s="40" t="str">
        <f>IFERROR(VLOOKUP(E14,'traspo ñ alterar'!$J$2:$M$500,3,FALSE),"")</f>
        <v/>
      </c>
      <c r="F16" s="40" t="str">
        <f>IFERROR(VLOOKUP(F14,'traspo ñ alterar'!$J$2:$M$500,3,FALSE),"")</f>
        <v/>
      </c>
      <c r="G16" s="40" t="str">
        <f>IFERROR(VLOOKUP(G14,'traspo ñ alterar'!$J$2:$M$500,3,FALSE),"")</f>
        <v/>
      </c>
      <c r="H16" s="40" t="str">
        <f>IFERROR(VLOOKUP(H14,'traspo ñ alterar'!$J$2:$M$500,3,FALSE),"")</f>
        <v/>
      </c>
      <c r="I16" s="25"/>
      <c r="J16" s="25"/>
      <c r="K16" s="25"/>
      <c r="L16" s="25"/>
    </row>
    <row r="17">
      <c r="A17" s="25"/>
      <c r="B17" s="39" t="str">
        <f>IFERROR(VLOOKUP(B14,'traspo ñ alterar'!$J$2:$M$500,4,FALSE),"")</f>
        <v/>
      </c>
      <c r="C17" s="40" t="str">
        <f>IFERROR(VLOOKUP(C14,'traspo ñ alterar'!$J$2:$M$500,4,FALSE),"")</f>
        <v/>
      </c>
      <c r="D17" s="40" t="str">
        <f>IFERROR(VLOOKUP(D14,'traspo ñ alterar'!$J$2:$M$500,4,FALSE),"")</f>
        <v/>
      </c>
      <c r="E17" s="40" t="str">
        <f>IFERROR(VLOOKUP(E14,'traspo ñ alterar'!$J$2:$M$500,4,FALSE),"")</f>
        <v/>
      </c>
      <c r="F17" s="40" t="str">
        <f>IFERROR(VLOOKUP(F14,'traspo ñ alterar'!$J$2:$M$500,4,FALSE),"")</f>
        <v/>
      </c>
      <c r="G17" s="40" t="str">
        <f>IFERROR(VLOOKUP(G14,'traspo ñ alterar'!$J$2:$M$500,4,FALSE),"")</f>
        <v/>
      </c>
      <c r="H17" s="40" t="str">
        <f>IFERROR(VLOOKUP(H14,'traspo ñ alterar'!$J$2:$M$500,4,FALSE),"")</f>
        <v/>
      </c>
      <c r="I17" s="25"/>
      <c r="J17" s="25"/>
      <c r="K17" s="25"/>
      <c r="L17" s="25"/>
    </row>
    <row r="18">
      <c r="A18" s="25"/>
      <c r="B18" s="41" t="str">
        <f>IFERROR(VLOOKUP(B15,'traspo ñ alterar'!$J$2:$M$500,5,FALSE),"")</f>
        <v/>
      </c>
      <c r="C18" s="42"/>
      <c r="D18" s="42"/>
      <c r="E18" s="42"/>
      <c r="F18" s="42"/>
      <c r="G18" s="42"/>
      <c r="H18" s="42"/>
      <c r="I18" s="25"/>
      <c r="J18" s="25"/>
      <c r="K18" s="25"/>
      <c r="L18" s="25"/>
    </row>
    <row r="19">
      <c r="A19" s="25"/>
      <c r="B19" s="43" t="str">
        <f t="array" ref="B19:H19">DiasESemanas+DATE(AnoCalendário,1,1)-WEEKDAY(DATE(AnoCalendário,1,1),(InícioDaSemana="segunda-feira")+1)+22</f>
        <v>18</v>
      </c>
      <c r="C19" s="44">
        <v>46041.0</v>
      </c>
      <c r="D19" s="44">
        <v>46042.0</v>
      </c>
      <c r="E19" s="37">
        <v>46043.0</v>
      </c>
      <c r="F19" s="44">
        <v>46044.0</v>
      </c>
      <c r="G19" s="44">
        <v>46045.0</v>
      </c>
      <c r="H19" s="44">
        <v>46046.0</v>
      </c>
      <c r="I19" s="25"/>
      <c r="J19" s="25"/>
      <c r="K19" s="25"/>
      <c r="L19" s="25"/>
    </row>
    <row r="20">
      <c r="A20" s="25"/>
      <c r="B20" s="39" t="str">
        <f>IFERROR(VLOOKUP(B19,'traspo ñ alterar'!$J$2:$M$500,2,FALSE),"")</f>
        <v>Outnight</v>
      </c>
      <c r="C20" s="40" t="str">
        <f>IFERROR(VLOOKUP(C19,'traspo ñ alterar'!$J$2:$M$500,2,FALSE),"")</f>
        <v/>
      </c>
      <c r="D20" s="40" t="str">
        <f>IFERROR(VLOOKUP(D19,'traspo ñ alterar'!$J$2:$M$500,2,FALSE),"")</f>
        <v/>
      </c>
      <c r="E20" s="40" t="str">
        <f>IFERROR(VLOOKUP(E19,'traspo ñ alterar'!$J$2:$M$500,2,FALSE),"")</f>
        <v/>
      </c>
      <c r="F20" s="40" t="str">
        <f>IFERROR(VLOOKUP(F19,'traspo ñ alterar'!$J$2:$M$500,2,FALSE),"")</f>
        <v>Culto de homens</v>
      </c>
      <c r="G20" s="40" t="str">
        <f>IFERROR(VLOOKUP(G19,'traspo ñ alterar'!$J$2:$M$500,2,FALSE),"")</f>
        <v/>
      </c>
      <c r="H20" s="40" t="str">
        <f>IFERROR(VLOOKUP(H19,'traspo ñ alterar'!$J$2:$M$500,2,FALSE),"")</f>
        <v/>
      </c>
      <c r="I20" s="25"/>
      <c r="J20" s="25"/>
      <c r="K20" s="25"/>
      <c r="L20" s="25"/>
    </row>
    <row r="21" ht="15.75" customHeight="1">
      <c r="A21" s="25"/>
      <c r="B21" s="39" t="str">
        <f>IFERROR(VLOOKUP(B19,'traspo ñ alterar'!$J$2:$M$500,3,FALSE),"")</f>
        <v/>
      </c>
      <c r="C21" s="40" t="str">
        <f>IFERROR(VLOOKUP(C19,'traspo ñ alterar'!$J$2:$M$500,3,FALSE),"")</f>
        <v/>
      </c>
      <c r="D21" s="40" t="str">
        <f>IFERROR(VLOOKUP(D19,'traspo ñ alterar'!$J$2:$M$500,3,FALSE),"")</f>
        <v/>
      </c>
      <c r="E21" s="40" t="str">
        <f>IFERROR(VLOOKUP(E19,'traspo ñ alterar'!$J$2:$M$500,3,FALSE),"")</f>
        <v/>
      </c>
      <c r="F21" s="40" t="str">
        <f>IFERROR(VLOOKUP(F19,'traspo ñ alterar'!$J$2:$M$500,3,FALSE),"")</f>
        <v/>
      </c>
      <c r="G21" s="40" t="str">
        <f>IFERROR(VLOOKUP(G19,'traspo ñ alterar'!$J$2:$M$500,3,FALSE),"")</f>
        <v/>
      </c>
      <c r="H21" s="40" t="str">
        <f>IFERROR(VLOOKUP(H19,'traspo ñ alterar'!$J$2:$M$500,3,FALSE),"")</f>
        <v/>
      </c>
      <c r="I21" s="25"/>
      <c r="J21" s="25"/>
      <c r="K21" s="25"/>
      <c r="L21" s="25"/>
    </row>
    <row r="22" ht="15.75" customHeight="1">
      <c r="A22" s="25"/>
      <c r="B22" s="39" t="str">
        <f>IFERROR(VLOOKUP(B19,'traspo ñ alterar'!$J$2:$M$500,4,FALSE),"")</f>
        <v/>
      </c>
      <c r="C22" s="40" t="str">
        <f>IFERROR(VLOOKUP(C19,'traspo ñ alterar'!$J$2:$M$500,4,FALSE),"")</f>
        <v/>
      </c>
      <c r="D22" s="40" t="str">
        <f>IFERROR(VLOOKUP(D19,'traspo ñ alterar'!$J$2:$M$500,4,FALSE),"")</f>
        <v/>
      </c>
      <c r="E22" s="40" t="str">
        <f>IFERROR(VLOOKUP(E19,'traspo ñ alterar'!$J$2:$M$500,4,FALSE),"")</f>
        <v/>
      </c>
      <c r="F22" s="40" t="str">
        <f>IFERROR(VLOOKUP(F19,'traspo ñ alterar'!$J$2:$M$500,4,FALSE),"")</f>
        <v/>
      </c>
      <c r="G22" s="40" t="str">
        <f>IFERROR(VLOOKUP(G19,'traspo ñ alterar'!$J$2:$M$500,4,FALSE),"")</f>
        <v/>
      </c>
      <c r="H22" s="40" t="str">
        <f>IFERROR(VLOOKUP(H19,'traspo ñ alterar'!$J$2:$M$500,4,FALSE),"")</f>
        <v/>
      </c>
      <c r="I22" s="25"/>
      <c r="J22" s="25"/>
      <c r="K22" s="25"/>
      <c r="L22" s="25"/>
    </row>
    <row r="23" ht="15.75" customHeight="1">
      <c r="A23" s="25"/>
      <c r="B23" s="39" t="str">
        <f>IFERROR(VLOOKUP(B20,'traspo ñ alterar'!$J$2:$M$500,5,FALSE),"")</f>
        <v/>
      </c>
      <c r="C23" s="40"/>
      <c r="D23" s="42"/>
      <c r="E23" s="42"/>
      <c r="F23" s="40"/>
      <c r="G23" s="40"/>
      <c r="H23" s="40"/>
      <c r="I23" s="25"/>
      <c r="J23" s="25"/>
      <c r="K23" s="25"/>
      <c r="L23" s="25"/>
    </row>
    <row r="24" ht="15.75" customHeight="1">
      <c r="A24" s="25"/>
      <c r="B24" s="36" t="str">
        <f t="array" ref="B24:H24">DiasESemanas+DATE(AnoCalendário,1,1)-WEEKDAY(DATE(AnoCalendário,1,1),(InícioDaSemana="segunda-feira")+1)+29</f>
        <v>25</v>
      </c>
      <c r="C24" s="37">
        <v>46048.0</v>
      </c>
      <c r="D24" s="37">
        <v>46049.0</v>
      </c>
      <c r="E24" s="37">
        <v>46050.0</v>
      </c>
      <c r="F24" s="37">
        <v>46051.0</v>
      </c>
      <c r="G24" s="37">
        <v>46052.0</v>
      </c>
      <c r="H24" s="37">
        <v>46053.0</v>
      </c>
      <c r="I24" s="25"/>
      <c r="J24" s="25"/>
      <c r="K24" s="25"/>
      <c r="L24" s="25"/>
    </row>
    <row r="25" ht="15.75" customHeight="1">
      <c r="A25" s="25"/>
      <c r="B25" s="39" t="str">
        <f>IFERROR(VLOOKUP(B24,'traspo ñ alterar'!$J$2:$M$500,2,FALSE),"")</f>
        <v>Culto missionário</v>
      </c>
      <c r="C25" s="40" t="str">
        <f>IFERROR(VLOOKUP(C24,'traspo ñ alterar'!$J$2:$M$500,2,FALSE),"")</f>
        <v/>
      </c>
      <c r="D25" s="40" t="str">
        <f>IFERROR(VLOOKUP(D24,'traspo ñ alterar'!$J$2:$M$500,2,FALSE),"")</f>
        <v/>
      </c>
      <c r="E25" s="40" t="str">
        <f>IFERROR(VLOOKUP(E24,'traspo ñ alterar'!$J$2:$M$500,2,FALSE),"")</f>
        <v/>
      </c>
      <c r="F25" s="40" t="str">
        <f>IFERROR(VLOOKUP(F24,'traspo ñ alterar'!$J$2:$M$500,2,FALSE),"")</f>
        <v>Futebol </v>
      </c>
      <c r="G25" s="40" t="str">
        <f>IFERROR(VLOOKUP(G24,'traspo ñ alterar'!$J$2:$M$500,2,FALSE),"")</f>
        <v/>
      </c>
      <c r="H25" s="40" t="str">
        <f>IFERROR(VLOOKUP(H24,'traspo ñ alterar'!$J$2:$M$500,2,FALSE),"")</f>
        <v/>
      </c>
      <c r="I25" s="25"/>
      <c r="J25" s="25"/>
      <c r="K25" s="25"/>
      <c r="L25" s="25"/>
    </row>
    <row r="26" ht="15.75" customHeight="1">
      <c r="A26" s="25"/>
      <c r="B26" s="39" t="str">
        <f>IFERROR(VLOOKUP(B24,'traspo ñ alterar'!$J$2:$M$500,3,FALSE),"")</f>
        <v/>
      </c>
      <c r="C26" s="40" t="str">
        <f>IFERROR(VLOOKUP(C24,'traspo ñ alterar'!$J$2:$M$500,3,FALSE),"")</f>
        <v/>
      </c>
      <c r="D26" s="40" t="str">
        <f>IFERROR(VLOOKUP(D24,'traspo ñ alterar'!$J$2:$M$500,3,FALSE),"")</f>
        <v/>
      </c>
      <c r="E26" s="40" t="str">
        <f>IFERROR(VLOOKUP(E24,'traspo ñ alterar'!$J$2:$M$500,3,FALSE),"")</f>
        <v/>
      </c>
      <c r="F26" s="40" t="str">
        <f>IFERROR(VLOOKUP(F24,'traspo ñ alterar'!$J$2:$M$500,3,FALSE),"")</f>
        <v/>
      </c>
      <c r="G26" s="40" t="str">
        <f>IFERROR(VLOOKUP(G24,'traspo ñ alterar'!$J$2:$M$500,3,FALSE),"")</f>
        <v/>
      </c>
      <c r="H26" s="40" t="str">
        <f>IFERROR(VLOOKUP(H24,'traspo ñ alterar'!$J$2:$M$500,3,FALSE),"")</f>
        <v/>
      </c>
      <c r="I26" s="25"/>
      <c r="J26" s="25"/>
      <c r="K26" s="25"/>
      <c r="L26" s="25"/>
    </row>
    <row r="27" ht="15.75" customHeight="1">
      <c r="A27" s="25"/>
      <c r="B27" s="39" t="str">
        <f>IFERROR(VLOOKUP(B24,'traspo ñ alterar'!$J$2:$M$500,4,FALSE),"")</f>
        <v/>
      </c>
      <c r="C27" s="40" t="str">
        <f>IFERROR(VLOOKUP(C24,'traspo ñ alterar'!$J$2:$M$500,4,FALSE),"")</f>
        <v/>
      </c>
      <c r="D27" s="40" t="str">
        <f>IFERROR(VLOOKUP(D24,'traspo ñ alterar'!$J$2:$M$500,4,FALSE),"")</f>
        <v/>
      </c>
      <c r="E27" s="40" t="str">
        <f>IFERROR(VLOOKUP(E24,'traspo ñ alterar'!$J$2:$M$500,4,FALSE),"")</f>
        <v/>
      </c>
      <c r="F27" s="40" t="str">
        <f>IFERROR(VLOOKUP(F24,'traspo ñ alterar'!$J$2:$M$500,4,FALSE),"")</f>
        <v/>
      </c>
      <c r="G27" s="40" t="str">
        <f>IFERROR(VLOOKUP(G24,'traspo ñ alterar'!$J$2:$M$500,4,FALSE),"")</f>
        <v/>
      </c>
      <c r="H27" s="40" t="str">
        <f>IFERROR(VLOOKUP(H24,'traspo ñ alterar'!$J$2:$M$500,4,FALSE),"")</f>
        <v/>
      </c>
      <c r="I27" s="25"/>
      <c r="J27" s="25"/>
      <c r="K27" s="25"/>
      <c r="L27" s="25"/>
    </row>
    <row r="28" ht="15.75" customHeight="1">
      <c r="A28" s="25"/>
      <c r="B28" s="41" t="str">
        <f>IFERROR(VLOOKUP(B25,'traspo ñ alterar'!$J$2:$M$500,5,FALSE),"")</f>
        <v/>
      </c>
      <c r="C28" s="42"/>
      <c r="D28" s="42"/>
      <c r="E28" s="42"/>
      <c r="F28" s="42"/>
      <c r="G28" s="42"/>
      <c r="H28" s="42"/>
      <c r="I28" s="25"/>
      <c r="J28" s="25"/>
      <c r="K28" s="25"/>
      <c r="L28" s="25"/>
    </row>
    <row r="29" ht="15.75" customHeight="1">
      <c r="A29" s="25"/>
      <c r="B29" s="43" t="str">
        <f t="array" ref="B29:C29">DiasESemanas+DATE(AnoCalendário,1,1)-WEEKDAY(DATE(AnoCalendário,1,1),(InícioDaSemana="segunda-feira")+1)+36</f>
        <v>1</v>
      </c>
      <c r="C29" s="44">
        <v>46055.0</v>
      </c>
      <c r="D29" s="45" t="s">
        <v>133</v>
      </c>
      <c r="E29" s="46"/>
      <c r="F29" s="46"/>
      <c r="G29" s="46"/>
      <c r="H29" s="47"/>
      <c r="I29" s="25"/>
      <c r="J29" s="25"/>
      <c r="K29" s="25"/>
      <c r="L29" s="25"/>
    </row>
    <row r="30" ht="15.75" customHeight="1">
      <c r="A30" s="25"/>
      <c r="B30" s="48" t="str">
        <f>IFERROR(VLOOKUP(B29,'traspo ñ alterar'!$J$2:$M$500,2,FALSE),"")</f>
        <v>Culto em Rio Brilhante</v>
      </c>
      <c r="C30" s="49" t="str">
        <f>IFERROR(VLOOKUP(C29,'traspo ñ alterar'!$J$2:$M$500,2,FALSE),"")</f>
        <v/>
      </c>
      <c r="D30" s="50"/>
      <c r="E30" s="51"/>
      <c r="F30" s="51"/>
      <c r="G30" s="51"/>
      <c r="H30" s="52"/>
      <c r="I30" s="25"/>
      <c r="J30" s="25"/>
      <c r="K30" s="25"/>
      <c r="L30" s="25"/>
    </row>
    <row r="31" ht="15.75" customHeight="1">
      <c r="A31" s="25"/>
      <c r="B31" s="48" t="str">
        <f>IFERROR(VLOOKUP(B29,'traspo ñ alterar'!$J$2:$M$500,3,FALSE),"")</f>
        <v>Retorno da EBD</v>
      </c>
      <c r="C31" s="49" t="str">
        <f>IFERROR(VLOOKUP(C29,'traspo ñ alterar'!$J$2:$M$500,3,FALSE),"")</f>
        <v/>
      </c>
      <c r="D31" s="50"/>
      <c r="E31" s="51"/>
      <c r="F31" s="51"/>
      <c r="G31" s="51"/>
      <c r="H31" s="52"/>
      <c r="I31" s="25"/>
      <c r="J31" s="25"/>
      <c r="K31" s="25"/>
      <c r="L31" s="25"/>
    </row>
    <row r="32" ht="15.75" customHeight="1">
      <c r="A32" s="25"/>
      <c r="B32" s="48" t="str">
        <f>IFERROR(VLOOKUP(B29,'traspo ñ alterar'!$J$2:$M$500,4,FALSE),"")</f>
        <v>Retorno do Metokids</v>
      </c>
      <c r="C32" s="49" t="str">
        <f>IFERROR(VLOOKUP(C29,'traspo ñ alterar'!$J$2:$M$500,4,FALSE),"")</f>
        <v/>
      </c>
      <c r="D32" s="50"/>
      <c r="E32" s="51"/>
      <c r="F32" s="51"/>
      <c r="G32" s="51"/>
      <c r="H32" s="52"/>
      <c r="I32" s="25"/>
      <c r="J32" s="25"/>
      <c r="K32" s="25"/>
      <c r="L32" s="25"/>
    </row>
    <row r="33" ht="15.75" customHeight="1">
      <c r="A33" s="53"/>
      <c r="B33" s="54" t="str">
        <f>IFERROR(VLOOKUP(B30,'traspo ñ alterar'!$J$2:$M$500,5,FALSE),"")</f>
        <v/>
      </c>
      <c r="C33" s="55"/>
      <c r="D33" s="56"/>
      <c r="E33" s="57"/>
      <c r="F33" s="57"/>
      <c r="G33" s="57"/>
      <c r="H33" s="58"/>
      <c r="I33" s="53"/>
      <c r="J33" s="53"/>
      <c r="K33" s="53"/>
      <c r="L33" s="53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 t="s">
        <v>128</v>
      </c>
      <c r="J35" s="16"/>
      <c r="K35" s="16"/>
      <c r="L35" s="16"/>
    </row>
    <row r="36" ht="15.75" customHeight="1">
      <c r="A36" s="16"/>
      <c r="B36" s="17" t="str">
        <f>"Fevereiro "&amp;AnoCalendário</f>
        <v>Fevereiro 2026</v>
      </c>
      <c r="E36" s="18"/>
      <c r="F36" s="18"/>
      <c r="G36" s="18"/>
      <c r="H36" s="19"/>
      <c r="I36" s="16"/>
      <c r="J36" s="16"/>
      <c r="K36" s="16"/>
      <c r="L36" s="16"/>
    </row>
    <row r="37" ht="15.75" customHeight="1">
      <c r="A37" s="20"/>
      <c r="B37" s="22" t="str">
        <f>InícioDaSemana</f>
        <v>domingo</v>
      </c>
      <c r="C37" s="22" t="str">
        <f t="shared" ref="C37:H37" si="2">TEXT(C38,"dddd")</f>
        <v>Monday</v>
      </c>
      <c r="D37" s="22" t="str">
        <f t="shared" si="2"/>
        <v>Tuesday</v>
      </c>
      <c r="E37" s="22" t="str">
        <f t="shared" si="2"/>
        <v>Wednesday</v>
      </c>
      <c r="F37" s="22" t="str">
        <f t="shared" si="2"/>
        <v>Thursday</v>
      </c>
      <c r="G37" s="22" t="str">
        <f t="shared" si="2"/>
        <v>Friday</v>
      </c>
      <c r="H37" s="22" t="str">
        <f t="shared" si="2"/>
        <v>Saturday</v>
      </c>
      <c r="I37" s="20"/>
      <c r="J37" s="16"/>
      <c r="K37" s="16"/>
      <c r="L37" s="16"/>
    </row>
    <row r="38" ht="15.75" customHeight="1">
      <c r="A38" s="25"/>
      <c r="B38" s="59" t="str">
        <f t="array" ref="B38:H38">DiasESemanas+DATE(AnoCalendário,2,1)-WEEKDAY(DATE(AnoCalendário,2,1),(InícioDaSemana="segunda-feira")+1)+1</f>
        <v>1</v>
      </c>
      <c r="C38" s="59">
        <v>46055.0</v>
      </c>
      <c r="D38" s="59">
        <v>46056.0</v>
      </c>
      <c r="E38" s="59">
        <v>46057.0</v>
      </c>
      <c r="F38" s="59">
        <v>46058.0</v>
      </c>
      <c r="G38" s="59">
        <v>46059.0</v>
      </c>
      <c r="H38" s="59">
        <v>46060.0</v>
      </c>
      <c r="I38" s="25"/>
      <c r="J38" s="16"/>
      <c r="K38" s="16"/>
      <c r="L38" s="16"/>
    </row>
    <row r="39" ht="15.75" customHeight="1">
      <c r="A39" s="25"/>
      <c r="B39" s="39" t="str">
        <f>IFERROR(VLOOKUP(B38,'traspo ñ alterar'!$J$2:$M$500,2,FALSE),"")</f>
        <v>Culto em Rio Brilhante</v>
      </c>
      <c r="C39" s="40" t="str">
        <f>IFERROR(VLOOKUP(C38,'traspo ñ alterar'!$J$2:$M$500,2,FALSE),"")</f>
        <v/>
      </c>
      <c r="D39" s="40" t="str">
        <f>IFERROR(VLOOKUP(D38,'traspo ñ alterar'!$J$2:$M$500,2,FALSE),"")</f>
        <v>Encontro de Alinhamento das Células</v>
      </c>
      <c r="E39" s="40" t="str">
        <f>IFERROR(VLOOKUP(E38,'traspo ñ alterar'!$J$2:$M$500,2,FALSE),"")</f>
        <v>Célula</v>
      </c>
      <c r="F39" s="40" t="str">
        <f>IFERROR(VLOOKUP(F38,'traspo ñ alterar'!$J$2:$M$500,2,FALSE),"")</f>
        <v>Encontro Mensal de Mulheres</v>
      </c>
      <c r="G39" s="40" t="str">
        <f>IFERROR(VLOOKUP(G38,'traspo ñ alterar'!$J$2:$M$500,2,FALSE),"")</f>
        <v>Vigília</v>
      </c>
      <c r="H39" s="40" t="str">
        <f>IFERROR(VLOOKUP(H38,'traspo ñ alterar'!$J$2:$M$500,2,FALSE),"")</f>
        <v>Capacitação para os professores</v>
      </c>
      <c r="I39" s="25"/>
      <c r="J39" s="16"/>
      <c r="K39" s="16"/>
      <c r="L39" s="16"/>
    </row>
    <row r="40" ht="15.75" customHeight="1">
      <c r="A40" s="25"/>
      <c r="B40" s="39" t="str">
        <f>IFERROR(VLOOKUP(B38,'traspo ñ alterar'!$J$2:$M$500,3,FALSE),"")</f>
        <v>Retorno da EBD</v>
      </c>
      <c r="C40" s="40" t="str">
        <f>IFERROR(VLOOKUP(C38,'traspo ñ alterar'!$J$2:$M$500,3,FALSE),"")</f>
        <v/>
      </c>
      <c r="D40" s="40" t="str">
        <f>IFERROR(VLOOKUP(D38,'traspo ñ alterar'!$J$2:$M$500,3,FALSE),"")</f>
        <v/>
      </c>
      <c r="E40" s="40" t="str">
        <f>IFERROR(VLOOKUP(E38,'traspo ñ alterar'!$J$2:$M$500,3,FALSE),"")</f>
        <v/>
      </c>
      <c r="F40" s="40" t="str">
        <f>IFERROR(VLOOKUP(F38,'traspo ñ alterar'!$J$2:$M$500,3,FALSE),"")</f>
        <v/>
      </c>
      <c r="G40" s="40" t="str">
        <f>IFERROR(VLOOKUP(G38,'traspo ñ alterar'!$J$2:$M$500,3,FALSE),"")</f>
        <v>Sexta cabeceira</v>
      </c>
      <c r="H40" s="40" t="str">
        <f>IFERROR(VLOOKUP(H38,'traspo ñ alterar'!$J$2:$M$500,3,FALSE),"")</f>
        <v>Relogio de oração</v>
      </c>
      <c r="I40" s="25"/>
      <c r="J40" s="16"/>
      <c r="K40" s="16"/>
      <c r="L40" s="16"/>
    </row>
    <row r="41" ht="15.75" customHeight="1">
      <c r="A41" s="25"/>
      <c r="B41" s="39" t="str">
        <f>IFERROR(VLOOKUP(B38,'traspo ñ alterar'!$J$2:$M$500,4,FALSE),"")</f>
        <v>Retorno do Metokids</v>
      </c>
      <c r="C41" s="40" t="str">
        <f>IFERROR(VLOOKUP(C38,'traspo ñ alterar'!$J$2:$M$500,4,FALSE),"")</f>
        <v/>
      </c>
      <c r="D41" s="40" t="str">
        <f>IFERROR(VLOOKUP(D38,'traspo ñ alterar'!$J$2:$M$500,4,FALSE),"")</f>
        <v/>
      </c>
      <c r="E41" s="40" t="str">
        <f>IFERROR(VLOOKUP(E38,'traspo ñ alterar'!$J$2:$M$500,4,FALSE),"")</f>
        <v/>
      </c>
      <c r="F41" s="40" t="str">
        <f>IFERROR(VLOOKUP(F38,'traspo ñ alterar'!$J$2:$M$500,4,FALSE),"")</f>
        <v/>
      </c>
      <c r="G41" s="40" t="str">
        <f>IFERROR(VLOOKUP(G38,'traspo ñ alterar'!$J$2:$M$500,4,FALSE),"")</f>
        <v/>
      </c>
      <c r="H41" s="40" t="str">
        <f>IFERROR(VLOOKUP(H38,'traspo ñ alterar'!$J$2:$M$500,4,FALSE),"")</f>
        <v/>
      </c>
      <c r="I41" s="25"/>
      <c r="J41" s="16"/>
      <c r="K41" s="16"/>
      <c r="L41" s="16"/>
    </row>
    <row r="42" ht="15.75" customHeight="1">
      <c r="A42" s="53"/>
      <c r="B42" s="41" t="str">
        <f>IFERROR(VLOOKUP(B39,'traspo ñ alterar'!$J$2:$M$500,5,FALSE),"")</f>
        <v/>
      </c>
      <c r="C42" s="42"/>
      <c r="D42" s="42"/>
      <c r="E42" s="42"/>
      <c r="F42" s="42"/>
      <c r="G42" s="42"/>
      <c r="H42" s="42"/>
      <c r="I42" s="53"/>
      <c r="J42" s="16"/>
      <c r="K42" s="16"/>
      <c r="L42" s="16"/>
    </row>
    <row r="43" ht="15.75" customHeight="1">
      <c r="A43" s="25"/>
      <c r="B43" s="37" t="str">
        <f t="array" ref="B43:H43">DiasESemanas+DATE(AnoCalendário,2,1)-WEEKDAY(DATE(AnoCalendário,2,1),(InícioDaSemana="segunda-feira")+1)+8</f>
        <v>8</v>
      </c>
      <c r="C43" s="37">
        <v>46062.0</v>
      </c>
      <c r="D43" s="37">
        <v>46063.0</v>
      </c>
      <c r="E43" s="37">
        <v>46064.0</v>
      </c>
      <c r="F43" s="37">
        <v>46065.0</v>
      </c>
      <c r="G43" s="37">
        <v>46066.0</v>
      </c>
      <c r="H43" s="37">
        <v>46067.0</v>
      </c>
      <c r="I43" s="25"/>
      <c r="J43" s="16"/>
      <c r="K43" s="16"/>
      <c r="L43" s="16"/>
    </row>
    <row r="44" ht="15.75" customHeight="1">
      <c r="A44" s="25"/>
      <c r="B44" s="39" t="str">
        <f>IFERROR(VLOOKUP(B43,'traspo ñ alterar'!$J$2:$M$500,2,FALSE),"")</f>
        <v>Alinhamento ministerial/EBD</v>
      </c>
      <c r="C44" s="40" t="str">
        <f>IFERROR(VLOOKUP(C43,'traspo ñ alterar'!$J$2:$M$500,2,FALSE),"")</f>
        <v/>
      </c>
      <c r="D44" s="40" t="str">
        <f>IFERROR(VLOOKUP(D43,'traspo ñ alterar'!$J$2:$M$500,2,FALSE),"")</f>
        <v/>
      </c>
      <c r="E44" s="40" t="str">
        <f>IFERROR(VLOOKUP(E43,'traspo ñ alterar'!$J$2:$M$500,2,FALSE),"")</f>
        <v>Célula</v>
      </c>
      <c r="F44" s="40" t="str">
        <f>IFERROR(VLOOKUP(F43,'traspo ñ alterar'!$J$2:$M$500,2,FALSE),"")</f>
        <v/>
      </c>
      <c r="G44" s="40" t="str">
        <f>IFERROR(VLOOKUP(G43,'traspo ñ alterar'!$J$2:$M$500,2,FALSE),"")</f>
        <v/>
      </c>
      <c r="H44" s="40" t="str">
        <f>IFERROR(VLOOKUP(H43,'traspo ñ alterar'!$J$2:$M$500,2,FALSE),"")</f>
        <v>Conferência de carnaval</v>
      </c>
      <c r="I44" s="25"/>
      <c r="J44" s="16"/>
      <c r="K44" s="16"/>
      <c r="L44" s="16"/>
    </row>
    <row r="45" ht="15.75" customHeight="1">
      <c r="A45" s="25"/>
      <c r="B45" s="39" t="str">
        <f>IFERROR(VLOOKUP(B43,'traspo ñ alterar'!$J$2:$M$500,3,FALSE),"")</f>
        <v>Cantina prol GE</v>
      </c>
      <c r="C45" s="40" t="str">
        <f>IFERROR(VLOOKUP(C43,'traspo ñ alterar'!$J$2:$M$500,3,FALSE),"")</f>
        <v/>
      </c>
      <c r="D45" s="40" t="str">
        <f>IFERROR(VLOOKUP(D43,'traspo ñ alterar'!$J$2:$M$500,3,FALSE),"")</f>
        <v/>
      </c>
      <c r="E45" s="40" t="str">
        <f>IFERROR(VLOOKUP(E43,'traspo ñ alterar'!$J$2:$M$500,3,FALSE),"")</f>
        <v/>
      </c>
      <c r="F45" s="40" t="str">
        <f>IFERROR(VLOOKUP(F43,'traspo ñ alterar'!$J$2:$M$500,3,FALSE),"")</f>
        <v/>
      </c>
      <c r="G45" s="40" t="str">
        <f>IFERROR(VLOOKUP(G43,'traspo ñ alterar'!$J$2:$M$500,3,FALSE),"")</f>
        <v/>
      </c>
      <c r="H45" s="40" t="str">
        <f>IFERROR(VLOOKUP(H43,'traspo ñ alterar'!$J$2:$M$500,3,FALSE),"")</f>
        <v/>
      </c>
      <c r="I45" s="25"/>
      <c r="J45" s="16"/>
      <c r="K45" s="16"/>
      <c r="L45" s="16"/>
    </row>
    <row r="46" ht="15.75" customHeight="1">
      <c r="A46" s="25"/>
      <c r="B46" s="39" t="str">
        <f>IFERROR(VLOOKUP(B43,'traspo ñ alterar'!$J$2:$M$500,4,FALSE),"")</f>
        <v/>
      </c>
      <c r="C46" s="40" t="str">
        <f>IFERROR(VLOOKUP(C43,'traspo ñ alterar'!$J$2:$M$500,4,FALSE),"")</f>
        <v/>
      </c>
      <c r="D46" s="40" t="str">
        <f>IFERROR(VLOOKUP(D43,'traspo ñ alterar'!$J$2:$M$500,4,FALSE),"")</f>
        <v/>
      </c>
      <c r="E46" s="40" t="str">
        <f>IFERROR(VLOOKUP(E43,'traspo ñ alterar'!$J$2:$M$500,4,FALSE),"")</f>
        <v/>
      </c>
      <c r="F46" s="40" t="str">
        <f>IFERROR(VLOOKUP(F43,'traspo ñ alterar'!$J$2:$M$500,4,FALSE),"")</f>
        <v/>
      </c>
      <c r="G46" s="40" t="str">
        <f>IFERROR(VLOOKUP(G43,'traspo ñ alterar'!$J$2:$M$500,4,FALSE),"")</f>
        <v/>
      </c>
      <c r="H46" s="40" t="str">
        <f>IFERROR(VLOOKUP(H43,'traspo ñ alterar'!$J$2:$M$500,4,FALSE),"")</f>
        <v/>
      </c>
      <c r="I46" s="25"/>
      <c r="J46" s="16"/>
      <c r="K46" s="16"/>
      <c r="L46" s="16"/>
    </row>
    <row r="47" ht="15.75" customHeight="1">
      <c r="A47" s="53"/>
      <c r="B47" s="41" t="str">
        <f>IFERROR(VLOOKUP(B44,'traspo ñ alterar'!$J$2:$M$500,5,FALSE),"")</f>
        <v/>
      </c>
      <c r="C47" s="42"/>
      <c r="D47" s="42"/>
      <c r="E47" s="42"/>
      <c r="F47" s="42"/>
      <c r="G47" s="42"/>
      <c r="H47" s="42"/>
      <c r="I47" s="53"/>
      <c r="J47" s="16"/>
      <c r="K47" s="16"/>
      <c r="L47" s="16"/>
    </row>
    <row r="48" ht="15.75" customHeight="1">
      <c r="A48" s="25"/>
      <c r="B48" s="37" t="str">
        <f t="array" ref="B48:H48">DiasESemanas+DATE(AnoCalendário,2,1)-WEEKDAY(DATE(AnoCalendário,2,1),(InícioDaSemana="segunda-feira")+1)+15</f>
        <v>15</v>
      </c>
      <c r="C48" s="37">
        <v>46069.0</v>
      </c>
      <c r="D48" s="37">
        <v>46070.0</v>
      </c>
      <c r="E48" s="37">
        <v>46071.0</v>
      </c>
      <c r="F48" s="37">
        <v>46072.0</v>
      </c>
      <c r="G48" s="37">
        <v>46073.0</v>
      </c>
      <c r="H48" s="37">
        <v>46074.0</v>
      </c>
      <c r="I48" s="25"/>
      <c r="J48" s="16"/>
      <c r="K48" s="16"/>
      <c r="L48" s="16"/>
    </row>
    <row r="49" ht="15.75" customHeight="1">
      <c r="A49" s="25"/>
      <c r="B49" s="39" t="str">
        <f>IFERROR(VLOOKUP(B48,'traspo ñ alterar'!$J$2:$M$500,2,FALSE),"")</f>
        <v>Conferência de carnaval</v>
      </c>
      <c r="C49" s="40" t="str">
        <f>IFERROR(VLOOKUP(C48,'traspo ñ alterar'!$J$2:$M$500,2,FALSE),"")</f>
        <v/>
      </c>
      <c r="D49" s="40" t="str">
        <f>IFERROR(VLOOKUP(D48,'traspo ñ alterar'!$J$2:$M$500,2,FALSE),"")</f>
        <v/>
      </c>
      <c r="E49" s="40" t="str">
        <f>IFERROR(VLOOKUP(E48,'traspo ñ alterar'!$J$2:$M$500,2,FALSE),"")</f>
        <v>Célula</v>
      </c>
      <c r="F49" s="40" t="str">
        <f>IFERROR(VLOOKUP(F48,'traspo ñ alterar'!$J$2:$M$500,2,FALSE),"")</f>
        <v/>
      </c>
      <c r="G49" s="40" t="str">
        <f>IFERROR(VLOOKUP(G48,'traspo ñ alterar'!$J$2:$M$500,2,FALSE),"")</f>
        <v>Sexta cabeceira</v>
      </c>
      <c r="H49" s="40" t="str">
        <f>IFERROR(VLOOKUP(H48,'traspo ñ alterar'!$J$2:$M$500,2,FALSE),"")</f>
        <v>Inteensos pós acamps</v>
      </c>
      <c r="I49" s="25"/>
      <c r="J49" s="16"/>
      <c r="K49" s="16"/>
      <c r="L49" s="16"/>
    </row>
    <row r="50" ht="15.75" customHeight="1">
      <c r="A50" s="25"/>
      <c r="B50" s="39" t="str">
        <f>IFERROR(VLOOKUP(B48,'traspo ñ alterar'!$J$2:$M$500,3,FALSE),"")</f>
        <v/>
      </c>
      <c r="C50" s="40" t="str">
        <f>IFERROR(VLOOKUP(C48,'traspo ñ alterar'!$J$2:$M$500,3,FALSE),"")</f>
        <v/>
      </c>
      <c r="D50" s="40" t="str">
        <f>IFERROR(VLOOKUP(D48,'traspo ñ alterar'!$J$2:$M$500,3,FALSE),"")</f>
        <v/>
      </c>
      <c r="E50" s="40" t="str">
        <f>IFERROR(VLOOKUP(E48,'traspo ñ alterar'!$J$2:$M$500,3,FALSE),"")</f>
        <v/>
      </c>
      <c r="F50" s="40" t="str">
        <f>IFERROR(VLOOKUP(F48,'traspo ñ alterar'!$J$2:$M$500,3,FALSE),"")</f>
        <v/>
      </c>
      <c r="G50" s="40" t="str">
        <f>IFERROR(VLOOKUP(G48,'traspo ñ alterar'!$J$2:$M$500,3,FALSE),"")</f>
        <v/>
      </c>
      <c r="H50" s="40" t="str">
        <f>IFERROR(VLOOKUP(H48,'traspo ñ alterar'!$J$2:$M$500,3,FALSE),"")</f>
        <v/>
      </c>
      <c r="I50" s="25"/>
      <c r="J50" s="16"/>
      <c r="K50" s="16"/>
      <c r="L50" s="16"/>
    </row>
    <row r="51" ht="15.75" customHeight="1">
      <c r="A51" s="25"/>
      <c r="B51" s="39" t="str">
        <f>IFERROR(VLOOKUP(B48,'traspo ñ alterar'!$J$2:$M$500,4,FALSE),"")</f>
        <v/>
      </c>
      <c r="C51" s="40" t="str">
        <f>IFERROR(VLOOKUP(C48,'traspo ñ alterar'!$J$2:$M$500,4,FALSE),"")</f>
        <v/>
      </c>
      <c r="D51" s="40" t="str">
        <f>IFERROR(VLOOKUP(D48,'traspo ñ alterar'!$J$2:$M$500,4,FALSE),"")</f>
        <v/>
      </c>
      <c r="E51" s="40" t="str">
        <f>IFERROR(VLOOKUP(E48,'traspo ñ alterar'!$J$2:$M$500,4,FALSE),"")</f>
        <v/>
      </c>
      <c r="F51" s="40" t="str">
        <f>IFERROR(VLOOKUP(F48,'traspo ñ alterar'!$J$2:$M$500,4,FALSE),"")</f>
        <v/>
      </c>
      <c r="G51" s="40" t="str">
        <f>IFERROR(VLOOKUP(G48,'traspo ñ alterar'!$J$2:$M$500,4,FALSE),"")</f>
        <v/>
      </c>
      <c r="H51" s="40" t="str">
        <f>IFERROR(VLOOKUP(H48,'traspo ñ alterar'!$J$2:$M$500,4,FALSE),"")</f>
        <v/>
      </c>
      <c r="I51" s="25"/>
      <c r="J51" s="16"/>
      <c r="K51" s="16"/>
      <c r="L51" s="16"/>
    </row>
    <row r="52" ht="15.75" customHeight="1">
      <c r="A52" s="53"/>
      <c r="B52" s="41" t="str">
        <f>IFERROR(VLOOKUP(B49,'traspo ñ alterar'!$J$2:$M$500,5,FALSE),"")</f>
        <v/>
      </c>
      <c r="C52" s="42"/>
      <c r="D52" s="42"/>
      <c r="E52" s="42"/>
      <c r="F52" s="42"/>
      <c r="G52" s="42"/>
      <c r="H52" s="42"/>
      <c r="I52" s="53"/>
      <c r="J52" s="16"/>
      <c r="K52" s="16"/>
      <c r="L52" s="16"/>
    </row>
    <row r="53" ht="15.75" customHeight="1">
      <c r="A53" s="25"/>
      <c r="B53" s="37" t="str">
        <f t="array" ref="B53:H53">DiasESemanas+DATE(AnoCalendário,2,1)-WEEKDAY(DATE(AnoCalendário,2,1),(InícioDaSemana="segunda-feira")+1)+22</f>
        <v>22</v>
      </c>
      <c r="C53" s="37">
        <v>46076.0</v>
      </c>
      <c r="D53" s="37">
        <v>46077.0</v>
      </c>
      <c r="E53" s="37">
        <v>46078.0</v>
      </c>
      <c r="F53" s="37">
        <v>46079.0</v>
      </c>
      <c r="G53" s="37">
        <v>46080.0</v>
      </c>
      <c r="H53" s="37">
        <v>46081.0</v>
      </c>
      <c r="I53" s="25"/>
      <c r="J53" s="16"/>
      <c r="K53" s="16"/>
      <c r="L53" s="16"/>
    </row>
    <row r="54" ht="15.75" customHeight="1">
      <c r="A54" s="25"/>
      <c r="B54" s="39" t="str">
        <f>IFERROR(VLOOKUP(B53,'traspo ñ alterar'!$J$2:$M$500,2,FALSE),"")</f>
        <v>Divisão de clases EBD</v>
      </c>
      <c r="C54" s="40" t="str">
        <f>IFERROR(VLOOKUP(C53,'traspo ñ alterar'!$J$2:$M$500,2,FALSE),"")</f>
        <v/>
      </c>
      <c r="D54" s="40" t="str">
        <f>IFERROR(VLOOKUP(D53,'traspo ñ alterar'!$J$2:$M$500,2,FALSE),"")</f>
        <v/>
      </c>
      <c r="E54" s="40" t="str">
        <f>IFERROR(VLOOKUP(E53,'traspo ñ alterar'!$J$2:$M$500,2,FALSE),"")</f>
        <v>Célula</v>
      </c>
      <c r="F54" s="40" t="str">
        <f>IFERROR(VLOOKUP(F53,'traspo ñ alterar'!$J$2:$M$500,2,FALSE),"")</f>
        <v>Culto de homens</v>
      </c>
      <c r="G54" s="40" t="str">
        <f>IFERROR(VLOOKUP(G53,'traspo ñ alterar'!$J$2:$M$500,2,FALSE),"")</f>
        <v>Sexta cabeceira</v>
      </c>
      <c r="H54" s="40" t="str">
        <f>IFERROR(VLOOKUP(H53,'traspo ñ alterar'!$J$2:$M$500,2,FALSE),"")</f>
        <v/>
      </c>
      <c r="I54" s="25"/>
      <c r="J54" s="16"/>
      <c r="K54" s="16"/>
      <c r="L54" s="16"/>
    </row>
    <row r="55" ht="15.75" customHeight="1">
      <c r="A55" s="25"/>
      <c r="B55" s="39" t="str">
        <f>IFERROR(VLOOKUP(B53,'traspo ñ alterar'!$J$2:$M$500,3,FALSE),"")</f>
        <v>Culto missionário</v>
      </c>
      <c r="C55" s="40" t="str">
        <f>IFERROR(VLOOKUP(C53,'traspo ñ alterar'!$J$2:$M$500,3,FALSE),"")</f>
        <v/>
      </c>
      <c r="D55" s="40" t="str">
        <f>IFERROR(VLOOKUP(D53,'traspo ñ alterar'!$J$2:$M$500,3,FALSE),"")</f>
        <v/>
      </c>
      <c r="E55" s="40" t="str">
        <f>IFERROR(VLOOKUP(E53,'traspo ñ alterar'!$J$2:$M$500,3,FALSE),"")</f>
        <v/>
      </c>
      <c r="F55" s="40" t="str">
        <f>IFERROR(VLOOKUP(F53,'traspo ñ alterar'!$J$2:$M$500,3,FALSE),"")</f>
        <v/>
      </c>
      <c r="G55" s="40" t="str">
        <f>IFERROR(VLOOKUP(G53,'traspo ñ alterar'!$J$2:$M$500,3,FALSE),"")</f>
        <v/>
      </c>
      <c r="H55" s="40" t="str">
        <f>IFERROR(VLOOKUP(H53,'traspo ñ alterar'!$J$2:$M$500,3,FALSE),"")</f>
        <v/>
      </c>
      <c r="I55" s="25"/>
      <c r="J55" s="16"/>
      <c r="K55" s="16"/>
      <c r="L55" s="16"/>
    </row>
    <row r="56" ht="15.75" customHeight="1">
      <c r="A56" s="25"/>
      <c r="B56" s="39" t="str">
        <f>IFERROR(VLOOKUP(B53,'traspo ñ alterar'!$J$2:$M$500,4,FALSE),"")</f>
        <v/>
      </c>
      <c r="C56" s="40" t="str">
        <f>IFERROR(VLOOKUP(C53,'traspo ñ alterar'!$J$2:$M$500,4,FALSE),"")</f>
        <v/>
      </c>
      <c r="D56" s="40" t="str">
        <f>IFERROR(VLOOKUP(D53,'traspo ñ alterar'!$J$2:$M$500,4,FALSE),"")</f>
        <v/>
      </c>
      <c r="E56" s="40" t="str">
        <f>IFERROR(VLOOKUP(E53,'traspo ñ alterar'!$J$2:$M$500,4,FALSE),"")</f>
        <v/>
      </c>
      <c r="F56" s="40" t="str">
        <f>IFERROR(VLOOKUP(F53,'traspo ñ alterar'!$J$2:$M$500,4,FALSE),"")</f>
        <v/>
      </c>
      <c r="G56" s="40" t="str">
        <f>IFERROR(VLOOKUP(G53,'traspo ñ alterar'!$J$2:$M$500,4,FALSE),"")</f>
        <v/>
      </c>
      <c r="H56" s="40" t="str">
        <f>IFERROR(VLOOKUP(H53,'traspo ñ alterar'!$J$2:$M$500,4,FALSE),"")</f>
        <v/>
      </c>
      <c r="I56" s="25"/>
      <c r="J56" s="16"/>
      <c r="K56" s="16"/>
      <c r="L56" s="16"/>
    </row>
    <row r="57" ht="15.75" customHeight="1">
      <c r="A57" s="53"/>
      <c r="B57" s="41" t="str">
        <f>IFERROR(VLOOKUP(B54,'traspo ñ alterar'!$J$2:$M$500,5,FALSE),"")</f>
        <v/>
      </c>
      <c r="C57" s="42"/>
      <c r="D57" s="42"/>
      <c r="E57" s="42"/>
      <c r="F57" s="42"/>
      <c r="G57" s="42"/>
      <c r="H57" s="42"/>
      <c r="I57" s="53"/>
      <c r="J57" s="16"/>
      <c r="K57" s="16"/>
      <c r="L57" s="16"/>
    </row>
    <row r="58" ht="15.75" customHeight="1">
      <c r="A58" s="25"/>
      <c r="B58" s="37" t="str">
        <f t="array" ref="B58:H58">DiasESemanas+DATE(AnoCalendário,2,1)-WEEKDAY(DATE(AnoCalendário,2,1),(InícioDaSemana="segunda-feira")+1)+29</f>
        <v>1</v>
      </c>
      <c r="C58" s="37">
        <v>46083.0</v>
      </c>
      <c r="D58" s="37">
        <v>46084.0</v>
      </c>
      <c r="E58" s="37">
        <v>46085.0</v>
      </c>
      <c r="F58" s="37">
        <v>46086.0</v>
      </c>
      <c r="G58" s="37">
        <v>46087.0</v>
      </c>
      <c r="H58" s="37">
        <v>46088.0</v>
      </c>
      <c r="I58" s="25"/>
      <c r="J58" s="16"/>
      <c r="K58" s="16"/>
      <c r="L58" s="16"/>
    </row>
    <row r="59" ht="15.75" customHeight="1">
      <c r="A59" s="25"/>
      <c r="B59" s="48" t="str">
        <f>IFERROR(VLOOKUP(B58,'traspo ñ alterar'!$J$2:$M$500,2,FALSE),"")</f>
        <v>Campanha do agasalho</v>
      </c>
      <c r="C59" s="60" t="str">
        <f>IFERROR(VLOOKUP(C58,'traspo ñ alterar'!$J$2:$M$500,2,FALSE),"")</f>
        <v/>
      </c>
      <c r="D59" s="60" t="str">
        <f>IFERROR(VLOOKUP(D58,'traspo ñ alterar'!$J$2:$M$500,2,FALSE),"")</f>
        <v/>
      </c>
      <c r="E59" s="60" t="str">
        <f>IFERROR(VLOOKUP(E58,'traspo ñ alterar'!$J$2:$M$500,2,FALSE),"")</f>
        <v>Célula</v>
      </c>
      <c r="F59" s="60" t="str">
        <f>IFERROR(VLOOKUP(F58,'traspo ñ alterar'!$J$2:$M$500,2,FALSE),"")</f>
        <v>Futebol </v>
      </c>
      <c r="G59" s="60" t="str">
        <f>IFERROR(VLOOKUP(G58,'traspo ñ alterar'!$J$2:$M$500,2,FALSE),"")</f>
        <v>Vigília</v>
      </c>
      <c r="H59" s="60" t="str">
        <f>IFERROR(VLOOKUP(H58,'traspo ñ alterar'!$J$2:$M$500,2,FALSE),"")</f>
        <v>Promoção Multimidia </v>
      </c>
      <c r="I59" s="25"/>
      <c r="J59" s="16"/>
      <c r="K59" s="16"/>
      <c r="L59" s="16"/>
    </row>
    <row r="60" ht="15.75" customHeight="1">
      <c r="A60" s="25"/>
      <c r="B60" s="48" t="str">
        <f>IFERROR(VLOOKUP(B58,'traspo ñ alterar'!$J$2:$M$500,3,FALSE),"")</f>
        <v>Culto em Rio Brilhante</v>
      </c>
      <c r="C60" s="60" t="str">
        <f>IFERROR(VLOOKUP(C58,'traspo ñ alterar'!$J$2:$M$500,3,FALSE),"")</f>
        <v/>
      </c>
      <c r="D60" s="60" t="str">
        <f>IFERROR(VLOOKUP(D58,'traspo ñ alterar'!$J$2:$M$500,3,FALSE),"")</f>
        <v/>
      </c>
      <c r="E60" s="60" t="str">
        <f>IFERROR(VLOOKUP(E58,'traspo ñ alterar'!$J$2:$M$500,3,FALSE),"")</f>
        <v/>
      </c>
      <c r="F60" s="60" t="str">
        <f>IFERROR(VLOOKUP(F58,'traspo ñ alterar'!$J$2:$M$500,3,FALSE),"")</f>
        <v/>
      </c>
      <c r="G60" s="60" t="str">
        <f>IFERROR(VLOOKUP(G58,'traspo ñ alterar'!$J$2:$M$500,3,FALSE),"")</f>
        <v>Sexta cabeceira</v>
      </c>
      <c r="H60" s="60" t="str">
        <f>IFERROR(VLOOKUP(H58,'traspo ñ alterar'!$J$2:$M$500,3,FALSE),"")</f>
        <v>Relogio de oração</v>
      </c>
      <c r="I60" s="25"/>
      <c r="J60" s="16"/>
      <c r="K60" s="16"/>
      <c r="L60" s="16"/>
    </row>
    <row r="61" ht="15.75" customHeight="1">
      <c r="A61" s="25"/>
      <c r="B61" s="48" t="str">
        <f>IFERROR(VLOOKUP(B58,'traspo ñ alterar'!$J$2:$M$500,4,FALSE),"")</f>
        <v/>
      </c>
      <c r="C61" s="60" t="str">
        <f>IFERROR(VLOOKUP(C58,'traspo ñ alterar'!$J$2:$M$500,4,FALSE),"")</f>
        <v/>
      </c>
      <c r="D61" s="60" t="str">
        <f>IFERROR(VLOOKUP(D58,'traspo ñ alterar'!$J$2:$M$500,4,FALSE),"")</f>
        <v/>
      </c>
      <c r="E61" s="60" t="str">
        <f>IFERROR(VLOOKUP(E58,'traspo ñ alterar'!$J$2:$M$500,4,FALSE),"")</f>
        <v/>
      </c>
      <c r="F61" s="60" t="str">
        <f>IFERROR(VLOOKUP(F58,'traspo ñ alterar'!$J$2:$M$500,4,FALSE),"")</f>
        <v/>
      </c>
      <c r="G61" s="60" t="str">
        <f>IFERROR(VLOOKUP(G58,'traspo ñ alterar'!$J$2:$M$500,4,FALSE),"")</f>
        <v/>
      </c>
      <c r="H61" s="60" t="str">
        <f>IFERROR(VLOOKUP(H58,'traspo ñ alterar'!$J$2:$M$500,4,FALSE),"")</f>
        <v/>
      </c>
      <c r="I61" s="25"/>
      <c r="J61" s="16"/>
      <c r="K61" s="16"/>
      <c r="L61" s="16"/>
    </row>
    <row r="62" ht="15.75" customHeight="1">
      <c r="A62" s="53"/>
      <c r="B62" s="61" t="str">
        <f>IFERROR(VLOOKUP(B59,'traspo ñ alterar'!$J$2:$M$500,5,FALSE),"")</f>
        <v/>
      </c>
      <c r="C62" s="62"/>
      <c r="D62" s="62"/>
      <c r="E62" s="62"/>
      <c r="F62" s="62"/>
      <c r="G62" s="62"/>
      <c r="H62" s="62"/>
      <c r="I62" s="53"/>
      <c r="J62" s="16"/>
      <c r="K62" s="16"/>
      <c r="L62" s="16"/>
    </row>
    <row r="63" ht="15.75" customHeight="1">
      <c r="A63" s="25"/>
      <c r="B63" s="44" t="str">
        <f t="array" ref="B63:C63">DiasESemanas+DATE(AnoCalendário,2,1)-WEEKDAY(DATE(AnoCalendário,2,1),(InícioDaSemana="segunda-feira")+1)+36</f>
        <v>8</v>
      </c>
      <c r="C63" s="44">
        <v>46090.0</v>
      </c>
      <c r="D63" s="50" t="s">
        <v>133</v>
      </c>
      <c r="H63" s="63"/>
      <c r="I63" s="25"/>
      <c r="J63" s="16"/>
      <c r="K63" s="16"/>
      <c r="L63" s="16"/>
    </row>
    <row r="64" ht="15.75" customHeight="1">
      <c r="A64" s="25"/>
      <c r="B64" s="60" t="str">
        <f>IFERROR(VLOOKUP(B63,'traspo ñ alterar'!$J$2:$M$500,2,FALSE),"")</f>
        <v>Culto especial dia da mulher</v>
      </c>
      <c r="C64" s="60" t="str">
        <f>IFERROR(VLOOKUP(C63,'traspo ñ alterar'!$J$2:$M$500,2,FALSE),"")</f>
        <v/>
      </c>
      <c r="D64" s="50"/>
      <c r="E64" s="51"/>
      <c r="F64" s="51"/>
      <c r="G64" s="51"/>
      <c r="H64" s="52"/>
      <c r="I64" s="25"/>
      <c r="J64" s="16"/>
      <c r="K64" s="16"/>
      <c r="L64" s="16"/>
    </row>
    <row r="65" ht="15.75" customHeight="1">
      <c r="A65" s="25"/>
      <c r="B65" s="60" t="str">
        <f>IFERROR(VLOOKUP(B63,'traspo ñ alterar'!$J$2:$M$500,3,FALSE),"")</f>
        <v/>
      </c>
      <c r="C65" s="60" t="str">
        <f>IFERROR(VLOOKUP(C63,'traspo ñ alterar'!$J$2:$M$500,3,FALSE),"")</f>
        <v/>
      </c>
      <c r="D65" s="50"/>
      <c r="E65" s="51"/>
      <c r="F65" s="51"/>
      <c r="G65" s="51"/>
      <c r="H65" s="52"/>
      <c r="I65" s="25"/>
      <c r="J65" s="16"/>
      <c r="K65" s="16"/>
      <c r="L65" s="16"/>
    </row>
    <row r="66" ht="15.75" customHeight="1">
      <c r="A66" s="25"/>
      <c r="B66" s="60" t="str">
        <f>IFERROR(VLOOKUP(B63,'traspo ñ alterar'!$J$2:$M$500,4,FALSE),"")</f>
        <v/>
      </c>
      <c r="C66" s="60" t="str">
        <f>IFERROR(VLOOKUP(C63,'traspo ñ alterar'!$J$2:$M$500,4,FALSE),"")</f>
        <v/>
      </c>
      <c r="D66" s="50"/>
      <c r="E66" s="51"/>
      <c r="F66" s="51"/>
      <c r="G66" s="51"/>
      <c r="H66" s="52"/>
      <c r="I66" s="25"/>
      <c r="J66" s="16"/>
      <c r="K66" s="16"/>
      <c r="L66" s="16"/>
    </row>
    <row r="67" ht="15.75" customHeight="1">
      <c r="A67" s="53"/>
      <c r="B67" s="64" t="str">
        <f>IFERROR(VLOOKUP(B64,'traspo ñ alterar'!$J$2:$M$500,5,FALSE),"")</f>
        <v/>
      </c>
      <c r="C67" s="64"/>
      <c r="D67" s="56"/>
      <c r="E67" s="57"/>
      <c r="F67" s="57"/>
      <c r="G67" s="57"/>
      <c r="H67" s="58"/>
      <c r="I67" s="53"/>
      <c r="J67" s="16"/>
      <c r="K67" s="16"/>
      <c r="L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 t="s">
        <v>128</v>
      </c>
      <c r="J69" s="16"/>
      <c r="K69" s="16"/>
      <c r="L69" s="16"/>
    </row>
    <row r="70" ht="15.75" customHeight="1">
      <c r="A70" s="16"/>
      <c r="B70" s="17" t="str">
        <f>"Março "&amp;AnoCalendário</f>
        <v>Março 2026</v>
      </c>
      <c r="E70" s="18"/>
      <c r="F70" s="18"/>
      <c r="G70" s="18"/>
      <c r="H70" s="19"/>
      <c r="I70" s="16"/>
      <c r="J70" s="16"/>
      <c r="K70" s="16"/>
      <c r="L70" s="16"/>
    </row>
    <row r="71" ht="15.75" customHeight="1">
      <c r="A71" s="20"/>
      <c r="B71" s="22" t="str">
        <f>InícioDaSemana</f>
        <v>domingo</v>
      </c>
      <c r="C71" s="22" t="str">
        <f t="shared" ref="C71:H71" si="3">TEXT(C72,"dddd")</f>
        <v>Monday</v>
      </c>
      <c r="D71" s="22" t="str">
        <f t="shared" si="3"/>
        <v>Tuesday</v>
      </c>
      <c r="E71" s="22" t="str">
        <f t="shared" si="3"/>
        <v>Wednesday</v>
      </c>
      <c r="F71" s="22" t="str">
        <f t="shared" si="3"/>
        <v>Thursday</v>
      </c>
      <c r="G71" s="22" t="str">
        <f t="shared" si="3"/>
        <v>Friday</v>
      </c>
      <c r="H71" s="22" t="str">
        <f t="shared" si="3"/>
        <v>Saturday</v>
      </c>
      <c r="I71" s="20"/>
      <c r="J71" s="16"/>
      <c r="K71" s="16"/>
      <c r="L71" s="16"/>
    </row>
    <row r="72" ht="15.75" customHeight="1">
      <c r="A72" s="25"/>
      <c r="B72" s="65" t="str">
        <f t="array" ref="B72:H72">DiasESemanas+DATE(AnoCalendário,3,1)-WEEKDAY(DATE(AnoCalendário,3,1),(InícioDaSemana="segunda-feira")+1)+1</f>
        <v>1</v>
      </c>
      <c r="C72" s="65">
        <v>46083.0</v>
      </c>
      <c r="D72" s="65">
        <v>46084.0</v>
      </c>
      <c r="E72" s="65">
        <v>46085.0</v>
      </c>
      <c r="F72" s="65">
        <v>46086.0</v>
      </c>
      <c r="G72" s="65">
        <v>46087.0</v>
      </c>
      <c r="H72" s="65">
        <v>46088.0</v>
      </c>
      <c r="I72" s="25"/>
      <c r="J72" s="16"/>
      <c r="K72" s="16"/>
      <c r="L72" s="16"/>
    </row>
    <row r="73" ht="15.75" customHeight="1">
      <c r="A73" s="25"/>
      <c r="B73" s="39" t="str">
        <f>IFERROR(VLOOKUP(B72,'traspo ñ alterar'!$J$2:$M$500,2,FALSE),"")</f>
        <v>Campanha do agasalho</v>
      </c>
      <c r="C73" s="40" t="str">
        <f>IFERROR(VLOOKUP(C72,'traspo ñ alterar'!$J$2:$M$500,2,FALSE),"")</f>
        <v/>
      </c>
      <c r="D73" s="40" t="str">
        <f>IFERROR(VLOOKUP(D72,'traspo ñ alterar'!$J$2:$M$500,2,FALSE),"")</f>
        <v/>
      </c>
      <c r="E73" s="40" t="str">
        <f>IFERROR(VLOOKUP(E72,'traspo ñ alterar'!$J$2:$M$500,2,FALSE),"")</f>
        <v>Célula</v>
      </c>
      <c r="F73" s="40" t="str">
        <f>IFERROR(VLOOKUP(F72,'traspo ñ alterar'!$J$2:$M$500,2,FALSE),"")</f>
        <v>Futebol </v>
      </c>
      <c r="G73" s="40" t="str">
        <f>IFERROR(VLOOKUP(G72,'traspo ñ alterar'!$J$2:$M$500,2,FALSE),"")</f>
        <v>Vigília</v>
      </c>
      <c r="H73" s="40" t="str">
        <f>IFERROR(VLOOKUP(H72,'traspo ñ alterar'!$J$2:$M$500,2,FALSE),"")</f>
        <v>Promoção Multimidia </v>
      </c>
      <c r="I73" s="25"/>
      <c r="J73" s="16"/>
      <c r="K73" s="16"/>
      <c r="L73" s="16"/>
    </row>
    <row r="74" ht="15.75" customHeight="1">
      <c r="A74" s="25"/>
      <c r="B74" s="39" t="str">
        <f>IFERROR(VLOOKUP(B72,'traspo ñ alterar'!$J$2:$M$500,3,FALSE),"")</f>
        <v>Culto em Rio Brilhante</v>
      </c>
      <c r="C74" s="40" t="str">
        <f>IFERROR(VLOOKUP(C72,'traspo ñ alterar'!$J$2:$M$500,3,FALSE),"")</f>
        <v/>
      </c>
      <c r="D74" s="40" t="str">
        <f>IFERROR(VLOOKUP(D72,'traspo ñ alterar'!$J$2:$M$500,3,FALSE),"")</f>
        <v/>
      </c>
      <c r="E74" s="40" t="str">
        <f>IFERROR(VLOOKUP(E72,'traspo ñ alterar'!$J$2:$M$500,3,FALSE),"")</f>
        <v/>
      </c>
      <c r="F74" s="40" t="str">
        <f>IFERROR(VLOOKUP(F72,'traspo ñ alterar'!$J$2:$M$500,3,FALSE),"")</f>
        <v/>
      </c>
      <c r="G74" s="40" t="str">
        <f>IFERROR(VLOOKUP(G72,'traspo ñ alterar'!$J$2:$M$500,3,FALSE),"")</f>
        <v>Sexta cabeceira</v>
      </c>
      <c r="H74" s="40" t="str">
        <f>IFERROR(VLOOKUP(H72,'traspo ñ alterar'!$J$2:$M$500,3,FALSE),"")</f>
        <v>Relogio de oração</v>
      </c>
      <c r="I74" s="25"/>
      <c r="J74" s="16"/>
      <c r="K74" s="16"/>
      <c r="L74" s="16"/>
    </row>
    <row r="75" ht="15.75" customHeight="1">
      <c r="A75" s="25"/>
      <c r="B75" s="39" t="str">
        <f>IFERROR(VLOOKUP(B72,'traspo ñ alterar'!$J$2:$M$500,4,FALSE),"")</f>
        <v/>
      </c>
      <c r="C75" s="40" t="str">
        <f>IFERROR(VLOOKUP(C72,'traspo ñ alterar'!$J$2:$M$500,4,FALSE),"")</f>
        <v/>
      </c>
      <c r="D75" s="40" t="str">
        <f>IFERROR(VLOOKUP(D72,'traspo ñ alterar'!$J$2:$M$500,4,FALSE),"")</f>
        <v/>
      </c>
      <c r="E75" s="40" t="str">
        <f>IFERROR(VLOOKUP(E72,'traspo ñ alterar'!$J$2:$M$500,4,FALSE),"")</f>
        <v/>
      </c>
      <c r="F75" s="40" t="str">
        <f>IFERROR(VLOOKUP(F72,'traspo ñ alterar'!$J$2:$M$500,4,FALSE),"")</f>
        <v/>
      </c>
      <c r="G75" s="40" t="str">
        <f>IFERROR(VLOOKUP(G72,'traspo ñ alterar'!$J$2:$M$500,4,FALSE),"")</f>
        <v/>
      </c>
      <c r="H75" s="40" t="str">
        <f>IFERROR(VLOOKUP(H72,'traspo ñ alterar'!$J$2:$M$500,4,FALSE),"")</f>
        <v/>
      </c>
      <c r="I75" s="25"/>
      <c r="J75" s="16"/>
      <c r="K75" s="16"/>
      <c r="L75" s="16"/>
    </row>
    <row r="76" ht="15.75" customHeight="1">
      <c r="A76" s="53"/>
      <c r="B76" s="41" t="str">
        <f>IFERROR(VLOOKUP(B73,'traspo ñ alterar'!$J$2:$M$500,5,FALSE),"")</f>
        <v/>
      </c>
      <c r="C76" s="42"/>
      <c r="D76" s="42"/>
      <c r="E76" s="42"/>
      <c r="F76" s="42"/>
      <c r="G76" s="42"/>
      <c r="H76" s="42"/>
      <c r="I76" s="53"/>
      <c r="J76" s="16"/>
      <c r="K76" s="16"/>
      <c r="L76" s="16"/>
    </row>
    <row r="77" ht="15.75" customHeight="1">
      <c r="A77" s="25"/>
      <c r="B77" s="37" t="str">
        <f t="array" ref="B77:H77">DiasESemanas+DATE(AnoCalendário,3,1)-WEEKDAY(DATE(AnoCalendário,3,1),(InícioDaSemana="segunda-feira")+1)+8</f>
        <v>8</v>
      </c>
      <c r="C77" s="37">
        <v>46090.0</v>
      </c>
      <c r="D77" s="37">
        <v>46091.0</v>
      </c>
      <c r="E77" s="37">
        <v>46092.0</v>
      </c>
      <c r="F77" s="37">
        <v>46093.0</v>
      </c>
      <c r="G77" s="37">
        <v>46094.0</v>
      </c>
      <c r="H77" s="37">
        <v>46095.0</v>
      </c>
      <c r="I77" s="25"/>
      <c r="J77" s="16"/>
      <c r="K77" s="16"/>
      <c r="L77" s="16"/>
    </row>
    <row r="78" ht="15.75" customHeight="1">
      <c r="A78" s="25"/>
      <c r="B78" s="39" t="str">
        <f>IFERROR(VLOOKUP(B77,'traspo ñ alterar'!$J$2:$M$500,2,FALSE),"")</f>
        <v>Culto especial dia da mulher</v>
      </c>
      <c r="C78" s="40" t="str">
        <f>IFERROR(VLOOKUP(C77,'traspo ñ alterar'!$J$2:$M$500,2,FALSE),"")</f>
        <v/>
      </c>
      <c r="D78" s="40" t="str">
        <f>IFERROR(VLOOKUP(D77,'traspo ñ alterar'!$J$2:$M$500,2,FALSE),"")</f>
        <v/>
      </c>
      <c r="E78" s="40" t="str">
        <f>IFERROR(VLOOKUP(E77,'traspo ñ alterar'!$J$2:$M$500,2,FALSE),"")</f>
        <v>Célula</v>
      </c>
      <c r="F78" s="40" t="str">
        <f>IFERROR(VLOOKUP(F77,'traspo ñ alterar'!$J$2:$M$500,2,FALSE),"")</f>
        <v>Encontro Mensal de Mulheres</v>
      </c>
      <c r="G78" s="40" t="str">
        <f>IFERROR(VLOOKUP(G77,'traspo ñ alterar'!$J$2:$M$500,2,FALSE),"")</f>
        <v>Sexta cabeceira</v>
      </c>
      <c r="H78" s="40" t="str">
        <f>IFERROR(VLOOKUP(H77,'traspo ñ alterar'!$J$2:$M$500,2,FALSE),"")</f>
        <v>Inteensos</v>
      </c>
      <c r="I78" s="25"/>
      <c r="J78" s="16"/>
      <c r="K78" s="16"/>
      <c r="L78" s="16"/>
    </row>
    <row r="79" ht="15.75" customHeight="1">
      <c r="A79" s="25"/>
      <c r="B79" s="39" t="str">
        <f>IFERROR(VLOOKUP(B77,'traspo ñ alterar'!$J$2:$M$500,3,FALSE),"")</f>
        <v/>
      </c>
      <c r="C79" s="40" t="str">
        <f>IFERROR(VLOOKUP(C77,'traspo ñ alterar'!$J$2:$M$500,3,FALSE),"")</f>
        <v/>
      </c>
      <c r="D79" s="40" t="str">
        <f>IFERROR(VLOOKUP(D77,'traspo ñ alterar'!$J$2:$M$500,3,FALSE),"")</f>
        <v/>
      </c>
      <c r="E79" s="40" t="str">
        <f>IFERROR(VLOOKUP(E77,'traspo ñ alterar'!$J$2:$M$500,3,FALSE),"")</f>
        <v/>
      </c>
      <c r="F79" s="40" t="str">
        <f>IFERROR(VLOOKUP(F77,'traspo ñ alterar'!$J$2:$M$500,3,FALSE),"")</f>
        <v/>
      </c>
      <c r="G79" s="40" t="str">
        <f>IFERROR(VLOOKUP(G77,'traspo ñ alterar'!$J$2:$M$500,3,FALSE),"")</f>
        <v/>
      </c>
      <c r="H79" s="40" t="str">
        <f>IFERROR(VLOOKUP(H77,'traspo ñ alterar'!$J$2:$M$500,3,FALSE),"")</f>
        <v/>
      </c>
      <c r="I79" s="25"/>
      <c r="J79" s="16"/>
      <c r="K79" s="16"/>
      <c r="L79" s="16"/>
    </row>
    <row r="80" ht="15.75" customHeight="1">
      <c r="A80" s="25"/>
      <c r="B80" s="39" t="str">
        <f>IFERROR(VLOOKUP(B77,'traspo ñ alterar'!$J$2:$M$500,4,FALSE),"")</f>
        <v/>
      </c>
      <c r="C80" s="40" t="str">
        <f>IFERROR(VLOOKUP(C77,'traspo ñ alterar'!$J$2:$M$500,4,FALSE),"")</f>
        <v/>
      </c>
      <c r="D80" s="40" t="str">
        <f>IFERROR(VLOOKUP(D77,'traspo ñ alterar'!$J$2:$M$500,4,FALSE),"")</f>
        <v/>
      </c>
      <c r="E80" s="40" t="str">
        <f>IFERROR(VLOOKUP(E77,'traspo ñ alterar'!$J$2:$M$500,4,FALSE),"")</f>
        <v/>
      </c>
      <c r="F80" s="40" t="str">
        <f>IFERROR(VLOOKUP(F77,'traspo ñ alterar'!$J$2:$M$500,4,FALSE),"")</f>
        <v/>
      </c>
      <c r="G80" s="40" t="str">
        <f>IFERROR(VLOOKUP(G77,'traspo ñ alterar'!$J$2:$M$500,4,FALSE),"")</f>
        <v/>
      </c>
      <c r="H80" s="40" t="str">
        <f>IFERROR(VLOOKUP(H77,'traspo ñ alterar'!$J$2:$M$500,4,FALSE),"")</f>
        <v/>
      </c>
      <c r="I80" s="25"/>
      <c r="J80" s="16"/>
      <c r="K80" s="16"/>
      <c r="L80" s="16"/>
    </row>
    <row r="81" ht="15.75" customHeight="1">
      <c r="A81" s="53"/>
      <c r="B81" s="41" t="str">
        <f>IFERROR(VLOOKUP(B78,'traspo ñ alterar'!$J$2:$M$500,5,FALSE),"")</f>
        <v/>
      </c>
      <c r="C81" s="42"/>
      <c r="D81" s="42"/>
      <c r="E81" s="42"/>
      <c r="F81" s="42"/>
      <c r="G81" s="42"/>
      <c r="H81" s="42"/>
      <c r="I81" s="53"/>
      <c r="J81" s="16"/>
      <c r="K81" s="16"/>
      <c r="L81" s="16"/>
    </row>
    <row r="82" ht="15.75" customHeight="1">
      <c r="A82" s="25"/>
      <c r="B82" s="37" t="str">
        <f t="array" ref="B82:H82">DiasESemanas+DATE(AnoCalendário,3,1)-WEEKDAY(DATE(AnoCalendário,3,1),(InícioDaSemana="segunda-feira")+1)+15</f>
        <v>15</v>
      </c>
      <c r="C82" s="37">
        <v>46097.0</v>
      </c>
      <c r="D82" s="37">
        <v>46098.0</v>
      </c>
      <c r="E82" s="37">
        <v>46099.0</v>
      </c>
      <c r="F82" s="37">
        <v>46100.0</v>
      </c>
      <c r="G82" s="37">
        <v>46101.0</v>
      </c>
      <c r="H82" s="37">
        <v>46102.0</v>
      </c>
      <c r="I82" s="25"/>
      <c r="J82" s="16"/>
      <c r="K82" s="16"/>
      <c r="L82" s="16"/>
    </row>
    <row r="83" ht="15.75" customHeight="1">
      <c r="A83" s="25"/>
      <c r="B83" s="39" t="str">
        <f>IFERROR(VLOOKUP(B82,'traspo ñ alterar'!$J$2:$M$500,2,FALSE),"")</f>
        <v>Cantina prol GE</v>
      </c>
      <c r="C83" s="40" t="str">
        <f>IFERROR(VLOOKUP(C82,'traspo ñ alterar'!$J$2:$M$500,2,FALSE),"")</f>
        <v/>
      </c>
      <c r="D83" s="40" t="str">
        <f>IFERROR(VLOOKUP(D82,'traspo ñ alterar'!$J$2:$M$500,2,FALSE),"")</f>
        <v/>
      </c>
      <c r="E83" s="40" t="str">
        <f>IFERROR(VLOOKUP(E82,'traspo ñ alterar'!$J$2:$M$500,2,FALSE),"")</f>
        <v>Célula</v>
      </c>
      <c r="F83" s="40" t="str">
        <f>IFERROR(VLOOKUP(F82,'traspo ñ alterar'!$J$2:$M$500,2,FALSE),"")</f>
        <v>Culto de homens</v>
      </c>
      <c r="G83" s="40" t="str">
        <f>IFERROR(VLOOKUP(G82,'traspo ñ alterar'!$J$2:$M$500,2,FALSE),"")</f>
        <v/>
      </c>
      <c r="H83" s="40" t="str">
        <f>IFERROR(VLOOKUP(H82,'traspo ñ alterar'!$J$2:$M$500,2,FALSE),"")</f>
        <v/>
      </c>
      <c r="I83" s="25"/>
      <c r="J83" s="16"/>
      <c r="K83" s="16"/>
      <c r="L83" s="16"/>
    </row>
    <row r="84" ht="15.75" customHeight="1">
      <c r="A84" s="25"/>
      <c r="B84" s="39" t="str">
        <f>IFERROR(VLOOKUP(B82,'traspo ñ alterar'!$J$2:$M$500,3,FALSE),"")</f>
        <v/>
      </c>
      <c r="C84" s="40" t="str">
        <f>IFERROR(VLOOKUP(C82,'traspo ñ alterar'!$J$2:$M$500,3,FALSE),"")</f>
        <v/>
      </c>
      <c r="D84" s="40" t="str">
        <f>IFERROR(VLOOKUP(D82,'traspo ñ alterar'!$J$2:$M$500,3,FALSE),"")</f>
        <v/>
      </c>
      <c r="E84" s="40" t="str">
        <f>IFERROR(VLOOKUP(E82,'traspo ñ alterar'!$J$2:$M$500,3,FALSE),"")</f>
        <v/>
      </c>
      <c r="F84" s="40" t="str">
        <f>IFERROR(VLOOKUP(F82,'traspo ñ alterar'!$J$2:$M$500,3,FALSE),"")</f>
        <v/>
      </c>
      <c r="G84" s="40" t="str">
        <f>IFERROR(VLOOKUP(G82,'traspo ñ alterar'!$J$2:$M$500,3,FALSE),"")</f>
        <v/>
      </c>
      <c r="H84" s="40" t="str">
        <f>IFERROR(VLOOKUP(H82,'traspo ñ alterar'!$J$2:$M$500,3,FALSE),"")</f>
        <v/>
      </c>
      <c r="I84" s="25"/>
      <c r="J84" s="16"/>
      <c r="K84" s="16"/>
      <c r="L84" s="16"/>
    </row>
    <row r="85" ht="15.75" customHeight="1">
      <c r="A85" s="25"/>
      <c r="B85" s="39" t="str">
        <f>IFERROR(VLOOKUP(B82,'traspo ñ alterar'!$J$2:$M$500,4,FALSE),"")</f>
        <v/>
      </c>
      <c r="C85" s="40" t="str">
        <f>IFERROR(VLOOKUP(C82,'traspo ñ alterar'!$J$2:$M$500,4,FALSE),"")</f>
        <v/>
      </c>
      <c r="D85" s="40" t="str">
        <f>IFERROR(VLOOKUP(D82,'traspo ñ alterar'!$J$2:$M$500,4,FALSE),"")</f>
        <v/>
      </c>
      <c r="E85" s="40" t="str">
        <f>IFERROR(VLOOKUP(E82,'traspo ñ alterar'!$J$2:$M$500,4,FALSE),"")</f>
        <v/>
      </c>
      <c r="F85" s="40" t="str">
        <f>IFERROR(VLOOKUP(F82,'traspo ñ alterar'!$J$2:$M$500,4,FALSE),"")</f>
        <v/>
      </c>
      <c r="G85" s="40" t="str">
        <f>IFERROR(VLOOKUP(G82,'traspo ñ alterar'!$J$2:$M$500,4,FALSE),"")</f>
        <v/>
      </c>
      <c r="H85" s="40" t="str">
        <f>IFERROR(VLOOKUP(H82,'traspo ñ alterar'!$J$2:$M$500,4,FALSE),"")</f>
        <v/>
      </c>
      <c r="I85" s="25"/>
      <c r="J85" s="16"/>
      <c r="K85" s="16"/>
      <c r="L85" s="16"/>
    </row>
    <row r="86" ht="15.75" customHeight="1">
      <c r="A86" s="53"/>
      <c r="B86" s="41" t="str">
        <f>IFERROR(VLOOKUP(B83,'traspo ñ alterar'!$J$2:$M$500,5,FALSE),"")</f>
        <v/>
      </c>
      <c r="C86" s="42"/>
      <c r="D86" s="42"/>
      <c r="E86" s="42"/>
      <c r="F86" s="42"/>
      <c r="G86" s="42"/>
      <c r="H86" s="42"/>
      <c r="I86" s="53"/>
      <c r="J86" s="16"/>
      <c r="K86" s="16"/>
      <c r="L86" s="16"/>
    </row>
    <row r="87" ht="15.75" customHeight="1">
      <c r="A87" s="25"/>
      <c r="B87" s="37" t="str">
        <f t="array" ref="B87:H87">DiasESemanas+DATE(AnoCalendário,3,1)-WEEKDAY(DATE(AnoCalendário,3,1),(InícioDaSemana="segunda-feira")+1)+22</f>
        <v>22</v>
      </c>
      <c r="C87" s="37">
        <v>46104.0</v>
      </c>
      <c r="D87" s="37">
        <v>46105.0</v>
      </c>
      <c r="E87" s="37">
        <v>46106.0</v>
      </c>
      <c r="F87" s="37">
        <v>46107.0</v>
      </c>
      <c r="G87" s="37">
        <v>46108.0</v>
      </c>
      <c r="H87" s="37">
        <v>46109.0</v>
      </c>
      <c r="I87" s="25"/>
      <c r="J87" s="16"/>
      <c r="K87" s="16"/>
      <c r="L87" s="16"/>
    </row>
    <row r="88" ht="15.75" customHeight="1">
      <c r="A88" s="25"/>
      <c r="B88" s="39" t="str">
        <f>IFERROR(VLOOKUP(B87,'traspo ñ alterar'!$J$2:$M$500,2,FALSE),"")</f>
        <v>Culto missionário</v>
      </c>
      <c r="C88" s="40" t="str">
        <f>IFERROR(VLOOKUP(C87,'traspo ñ alterar'!$J$2:$M$500,2,FALSE),"")</f>
        <v>Clamor on line</v>
      </c>
      <c r="D88" s="40" t="str">
        <f>IFERROR(VLOOKUP(D87,'traspo ñ alterar'!$J$2:$M$500,2,FALSE),"")</f>
        <v>Clamor on line</v>
      </c>
      <c r="E88" s="40" t="str">
        <f>IFERROR(VLOOKUP(E87,'traspo ñ alterar'!$J$2:$M$500,2,FALSE),"")</f>
        <v>Clamor on line</v>
      </c>
      <c r="F88" s="40" t="str">
        <f>IFERROR(VLOOKUP(F87,'traspo ñ alterar'!$J$2:$M$500,2,FALSE),"")</f>
        <v>Clamor on line</v>
      </c>
      <c r="G88" s="40" t="str">
        <f>IFERROR(VLOOKUP(G87,'traspo ñ alterar'!$J$2:$M$500,2,FALSE),"")</f>
        <v>Clamor on line</v>
      </c>
      <c r="H88" s="40" t="str">
        <f>IFERROR(VLOOKUP(H87,'traspo ñ alterar'!$J$2:$M$500,2,FALSE),"")</f>
        <v>Conferência da Família </v>
      </c>
      <c r="I88" s="25"/>
      <c r="J88" s="16"/>
      <c r="K88" s="16"/>
      <c r="L88" s="16"/>
    </row>
    <row r="89" ht="15.75" customHeight="1">
      <c r="A89" s="25"/>
      <c r="B89" s="39" t="str">
        <f>IFERROR(VLOOKUP(B87,'traspo ñ alterar'!$J$2:$M$500,3,FALSE),"")</f>
        <v/>
      </c>
      <c r="C89" s="40" t="str">
        <f>IFERROR(VLOOKUP(C87,'traspo ñ alterar'!$J$2:$M$500,3,FALSE),"")</f>
        <v/>
      </c>
      <c r="D89" s="40" t="str">
        <f>IFERROR(VLOOKUP(D87,'traspo ñ alterar'!$J$2:$M$500,3,FALSE),"")</f>
        <v/>
      </c>
      <c r="E89" s="40" t="str">
        <f>IFERROR(VLOOKUP(E87,'traspo ñ alterar'!$J$2:$M$500,3,FALSE),"")</f>
        <v>Célula</v>
      </c>
      <c r="F89" s="40" t="str">
        <f>IFERROR(VLOOKUP(F87,'traspo ñ alterar'!$J$2:$M$500,3,FALSE),"")</f>
        <v/>
      </c>
      <c r="G89" s="40" t="str">
        <f>IFERROR(VLOOKUP(G87,'traspo ñ alterar'!$J$2:$M$500,3,FALSE),"")</f>
        <v>Sexta cabeceira</v>
      </c>
      <c r="H89" s="40" t="str">
        <f>IFERROR(VLOOKUP(H87,'traspo ñ alterar'!$J$2:$M$500,3,FALSE),"")</f>
        <v/>
      </c>
      <c r="I89" s="25"/>
      <c r="J89" s="16"/>
      <c r="K89" s="16"/>
      <c r="L89" s="16"/>
    </row>
    <row r="90" ht="15.75" customHeight="1">
      <c r="A90" s="25"/>
      <c r="B90" s="39" t="str">
        <f>IFERROR(VLOOKUP(B87,'traspo ñ alterar'!$J$2:$M$500,4,FALSE),"")</f>
        <v/>
      </c>
      <c r="C90" s="40" t="str">
        <f>IFERROR(VLOOKUP(C87,'traspo ñ alterar'!$J$2:$M$500,4,FALSE),"")</f>
        <v/>
      </c>
      <c r="D90" s="40" t="str">
        <f>IFERROR(VLOOKUP(D87,'traspo ñ alterar'!$J$2:$M$500,4,FALSE),"")</f>
        <v/>
      </c>
      <c r="E90" s="40" t="str">
        <f>IFERROR(VLOOKUP(E87,'traspo ñ alterar'!$J$2:$M$500,4,FALSE),"")</f>
        <v/>
      </c>
      <c r="F90" s="40" t="str">
        <f>IFERROR(VLOOKUP(F87,'traspo ñ alterar'!$J$2:$M$500,4,FALSE),"")</f>
        <v/>
      </c>
      <c r="G90" s="40" t="str">
        <f>IFERROR(VLOOKUP(G87,'traspo ñ alterar'!$J$2:$M$500,4,FALSE),"")</f>
        <v/>
      </c>
      <c r="H90" s="40" t="str">
        <f>IFERROR(VLOOKUP(H87,'traspo ñ alterar'!$J$2:$M$500,4,FALSE),"")</f>
        <v/>
      </c>
      <c r="I90" s="25"/>
      <c r="J90" s="16"/>
      <c r="K90" s="16"/>
      <c r="L90" s="16"/>
    </row>
    <row r="91" ht="15.75" customHeight="1">
      <c r="A91" s="53"/>
      <c r="B91" s="41" t="str">
        <f>IFERROR(VLOOKUP(B88,'traspo ñ alterar'!$J$2:$M$500,5,FALSE),"")</f>
        <v/>
      </c>
      <c r="C91" s="42"/>
      <c r="D91" s="42"/>
      <c r="E91" s="42"/>
      <c r="F91" s="42"/>
      <c r="G91" s="42"/>
      <c r="H91" s="42"/>
      <c r="I91" s="53"/>
      <c r="J91" s="16"/>
      <c r="K91" s="16"/>
      <c r="L91" s="16"/>
    </row>
    <row r="92" ht="15.75" customHeight="1">
      <c r="A92" s="25"/>
      <c r="B92" s="37" t="str">
        <f t="array" ref="B92:H92">DiasESemanas+DATE(AnoCalendário,3,1)-WEEKDAY(DATE(AnoCalendário,3,1),(InícioDaSemana="segunda-feira")+1)+29</f>
        <v>29</v>
      </c>
      <c r="C92" s="37">
        <v>46111.0</v>
      </c>
      <c r="D92" s="37">
        <v>46112.0</v>
      </c>
      <c r="E92" s="37">
        <v>46113.0</v>
      </c>
      <c r="F92" s="37">
        <v>46114.0</v>
      </c>
      <c r="G92" s="37">
        <v>46115.0</v>
      </c>
      <c r="H92" s="37">
        <v>46116.0</v>
      </c>
      <c r="I92" s="25"/>
      <c r="J92" s="16"/>
      <c r="K92" s="16"/>
      <c r="L92" s="16"/>
    </row>
    <row r="93" ht="15.75" customHeight="1">
      <c r="A93" s="25"/>
      <c r="B93" s="39" t="str">
        <f>IFERROR(VLOOKUP(B92,'traspo ñ alterar'!$J$2:$M$500,2,FALSE),"")</f>
        <v>Conferência da Família</v>
      </c>
      <c r="C93" s="40" t="str">
        <f>IFERROR(VLOOKUP(C92,'traspo ñ alterar'!$J$2:$M$500,2,FALSE),"")</f>
        <v/>
      </c>
      <c r="D93" s="40" t="str">
        <f>IFERROR(VLOOKUP(D92,'traspo ñ alterar'!$J$2:$M$500,2,FALSE),"")</f>
        <v/>
      </c>
      <c r="E93" s="60" t="str">
        <f>IFERROR(VLOOKUP(E92,'traspo ñ alterar'!$J$2:$M$500,2,FALSE),"")</f>
        <v>Célula</v>
      </c>
      <c r="F93" s="60" t="str">
        <f>IFERROR(VLOOKUP(F92,'traspo ñ alterar'!$J$2:$M$500,2,FALSE),"")</f>
        <v>Futebol </v>
      </c>
      <c r="G93" s="60" t="str">
        <f>IFERROR(VLOOKUP(G92,'traspo ñ alterar'!$J$2:$M$500,2,FALSE),"")</f>
        <v>Vigília</v>
      </c>
      <c r="H93" s="60" t="str">
        <f>IFERROR(VLOOKUP(H92,'traspo ñ alterar'!$J$2:$M$500,2,FALSE),"")</f>
        <v/>
      </c>
      <c r="I93" s="25"/>
      <c r="J93" s="16"/>
      <c r="K93" s="16"/>
      <c r="L93" s="16"/>
    </row>
    <row r="94" ht="15.75" customHeight="1">
      <c r="A94" s="25"/>
      <c r="B94" s="39" t="str">
        <f>IFERROR(VLOOKUP(B92,'traspo ñ alterar'!$J$2:$M$500,3,FALSE),"")</f>
        <v/>
      </c>
      <c r="C94" s="40" t="str">
        <f>IFERROR(VLOOKUP(C92,'traspo ñ alterar'!$J$2:$M$500,3,FALSE),"")</f>
        <v/>
      </c>
      <c r="D94" s="40" t="str">
        <f>IFERROR(VLOOKUP(D92,'traspo ñ alterar'!$J$2:$M$500,3,FALSE),"")</f>
        <v/>
      </c>
      <c r="E94" s="60" t="str">
        <f>IFERROR(VLOOKUP(E92,'traspo ñ alterar'!$J$2:$M$500,3,FALSE),"")</f>
        <v/>
      </c>
      <c r="F94" s="60" t="str">
        <f>IFERROR(VLOOKUP(F92,'traspo ñ alterar'!$J$2:$M$500,3,FALSE),"")</f>
        <v/>
      </c>
      <c r="G94" s="60" t="str">
        <f>IFERROR(VLOOKUP(G92,'traspo ñ alterar'!$J$2:$M$500,3,FALSE),"")</f>
        <v/>
      </c>
      <c r="H94" s="60" t="str">
        <f>IFERROR(VLOOKUP(H92,'traspo ñ alterar'!$J$2:$M$500,3,FALSE),"")</f>
        <v/>
      </c>
      <c r="I94" s="25"/>
      <c r="J94" s="16"/>
      <c r="K94" s="16"/>
      <c r="L94" s="16"/>
    </row>
    <row r="95" ht="15.75" customHeight="1">
      <c r="A95" s="25"/>
      <c r="B95" s="39" t="str">
        <f>IFERROR(VLOOKUP(B92,'traspo ñ alterar'!$J$2:$M$500,4,FALSE),"")</f>
        <v/>
      </c>
      <c r="C95" s="40" t="str">
        <f>IFERROR(VLOOKUP(C92,'traspo ñ alterar'!$J$2:$M$500,4,FALSE),"")</f>
        <v/>
      </c>
      <c r="D95" s="40" t="str">
        <f>IFERROR(VLOOKUP(D92,'traspo ñ alterar'!$J$2:$M$500,4,FALSE),"")</f>
        <v/>
      </c>
      <c r="E95" s="60" t="str">
        <f>IFERROR(VLOOKUP(E92,'traspo ñ alterar'!$J$2:$M$500,4,FALSE),"")</f>
        <v/>
      </c>
      <c r="F95" s="60" t="str">
        <f>IFERROR(VLOOKUP(F92,'traspo ñ alterar'!$J$2:$M$500,4,FALSE),"")</f>
        <v/>
      </c>
      <c r="G95" s="60" t="str">
        <f>IFERROR(VLOOKUP(G92,'traspo ñ alterar'!$J$2:$M$500,4,FALSE),"")</f>
        <v/>
      </c>
      <c r="H95" s="60" t="str">
        <f>IFERROR(VLOOKUP(H92,'traspo ñ alterar'!$J$2:$M$500,4,FALSE),"")</f>
        <v/>
      </c>
      <c r="I95" s="25"/>
      <c r="J95" s="16"/>
      <c r="K95" s="16"/>
      <c r="L95" s="16"/>
    </row>
    <row r="96" ht="15.75" customHeight="1">
      <c r="A96" s="53"/>
      <c r="B96" s="41" t="str">
        <f>IFERROR(VLOOKUP(B93,'traspo ñ alterar'!$J$2:$M$500,5,FALSE),"")</f>
        <v/>
      </c>
      <c r="C96" s="42"/>
      <c r="D96" s="42"/>
      <c r="E96" s="66"/>
      <c r="F96" s="66"/>
      <c r="G96" s="66"/>
      <c r="H96" s="66"/>
      <c r="I96" s="53"/>
      <c r="J96" s="16"/>
      <c r="K96" s="16"/>
      <c r="L96" s="16"/>
    </row>
    <row r="97" ht="15.75" customHeight="1">
      <c r="A97" s="25"/>
      <c r="B97" s="37" t="str">
        <f t="array" ref="B97:C97">DiasESemanas+DATE(AnoCalendário,3,1)-WEEKDAY(DATE(AnoCalendário,3,1),(InícioDaSemana="segunda-feira")+1)+36</f>
        <v>5</v>
      </c>
      <c r="C97" s="37">
        <v>46118.0</v>
      </c>
      <c r="D97" s="67" t="s">
        <v>133</v>
      </c>
      <c r="E97" s="46"/>
      <c r="F97" s="46"/>
      <c r="G97" s="46"/>
      <c r="H97" s="47"/>
      <c r="I97" s="25"/>
      <c r="J97" s="16"/>
      <c r="K97" s="16"/>
      <c r="L97" s="16"/>
    </row>
    <row r="98" ht="15.75" customHeight="1">
      <c r="A98" s="25"/>
      <c r="B98" s="60" t="str">
        <f>IFERROR(VLOOKUP(B97,'traspo ñ alterar'!$J$2:$M$500,2,FALSE),"")</f>
        <v>Café da Manha de Páscoa</v>
      </c>
      <c r="C98" s="60" t="str">
        <f>IFERROR(VLOOKUP(C97,'traspo ñ alterar'!$J$2:$M$500,2,FALSE),"")</f>
        <v/>
      </c>
      <c r="D98" s="51"/>
      <c r="E98" s="51"/>
      <c r="F98" s="51"/>
      <c r="G98" s="51"/>
      <c r="H98" s="52"/>
      <c r="I98" s="25"/>
      <c r="J98" s="16"/>
      <c r="K98" s="16"/>
      <c r="L98" s="16"/>
    </row>
    <row r="99" ht="15.75" customHeight="1">
      <c r="A99" s="25"/>
      <c r="B99" s="60" t="str">
        <f>IFERROR(VLOOKUP(B97,'traspo ñ alterar'!$J$2:$M$500,3,FALSE),"")</f>
        <v>Teatro de Páscoa</v>
      </c>
      <c r="C99" s="60" t="str">
        <f>IFERROR(VLOOKUP(C97,'traspo ñ alterar'!$J$2:$M$500,3,FALSE),"")</f>
        <v/>
      </c>
      <c r="D99" s="51"/>
      <c r="E99" s="51"/>
      <c r="F99" s="51"/>
      <c r="G99" s="51"/>
      <c r="H99" s="52"/>
      <c r="I99" s="25"/>
      <c r="J99" s="16"/>
      <c r="K99" s="16"/>
      <c r="L99" s="16"/>
    </row>
    <row r="100" ht="15.75" customHeight="1">
      <c r="A100" s="25"/>
      <c r="B100" s="60" t="str">
        <f>IFERROR(VLOOKUP(B97,'traspo ñ alterar'!$J$2:$M$500,4,FALSE),"")</f>
        <v>Culto em Rio Brilhante</v>
      </c>
      <c r="C100" s="60" t="str">
        <f>IFERROR(VLOOKUP(C97,'traspo ñ alterar'!$J$2:$M$500,4,FALSE),"")</f>
        <v/>
      </c>
      <c r="D100" s="51"/>
      <c r="E100" s="51"/>
      <c r="F100" s="51"/>
      <c r="G100" s="51"/>
      <c r="H100" s="52"/>
      <c r="I100" s="25"/>
      <c r="J100" s="16"/>
      <c r="K100" s="16"/>
      <c r="L100" s="16"/>
    </row>
    <row r="101" ht="15.75" customHeight="1">
      <c r="A101" s="53"/>
      <c r="B101" s="55" t="str">
        <f>IFERROR(VLOOKUP(B98,'traspo ñ alterar'!$J$2:$M$500,5,FALSE),"")</f>
        <v/>
      </c>
      <c r="C101" s="55"/>
      <c r="D101" s="68"/>
      <c r="E101" s="57"/>
      <c r="F101" s="57"/>
      <c r="G101" s="57"/>
      <c r="H101" s="58"/>
      <c r="I101" s="53"/>
      <c r="J101" s="16"/>
      <c r="K101" s="16"/>
      <c r="L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 t="s">
        <v>128</v>
      </c>
      <c r="J103" s="16"/>
      <c r="K103" s="16"/>
      <c r="L103" s="16"/>
    </row>
    <row r="104" ht="15.75" customHeight="1">
      <c r="A104" s="16"/>
      <c r="B104" s="17" t="str">
        <f>"Abril "&amp;AnoCalendário</f>
        <v>Abril 2026</v>
      </c>
      <c r="E104" s="18"/>
      <c r="F104" s="18"/>
      <c r="G104" s="18"/>
      <c r="H104" s="19"/>
      <c r="I104" s="16"/>
      <c r="J104" s="16"/>
      <c r="K104" s="16"/>
      <c r="L104" s="16"/>
    </row>
    <row r="105" ht="15.75" customHeight="1">
      <c r="A105" s="20"/>
      <c r="B105" s="22" t="str">
        <f>InícioDaSemana</f>
        <v>domingo</v>
      </c>
      <c r="C105" s="22" t="str">
        <f t="shared" ref="C105:H105" si="4">TEXT(C106,"dddd")</f>
        <v>Monday</v>
      </c>
      <c r="D105" s="22" t="str">
        <f t="shared" si="4"/>
        <v>Tuesday</v>
      </c>
      <c r="E105" s="22" t="str">
        <f t="shared" si="4"/>
        <v>Wednesday</v>
      </c>
      <c r="F105" s="22" t="str">
        <f t="shared" si="4"/>
        <v>Thursday</v>
      </c>
      <c r="G105" s="22" t="str">
        <f t="shared" si="4"/>
        <v>Friday</v>
      </c>
      <c r="H105" s="22" t="str">
        <f t="shared" si="4"/>
        <v>Saturday</v>
      </c>
      <c r="I105" s="20"/>
      <c r="J105" s="16"/>
      <c r="K105" s="16"/>
      <c r="L105" s="16"/>
    </row>
    <row r="106" ht="15.75" customHeight="1">
      <c r="A106" s="25"/>
      <c r="B106" s="27" t="str">
        <f t="array" ref="B106:H106">DiasESemanas+DATE(AnoCalendário,4,1)-WEEKDAY(DATE(AnoCalendário,4,1),(InícioDaSemana="segunda-feira")+1)+1</f>
        <v>29</v>
      </c>
      <c r="C106" s="27">
        <v>46111.0</v>
      </c>
      <c r="D106" s="27">
        <v>46112.0</v>
      </c>
      <c r="E106" s="27">
        <v>46113.0</v>
      </c>
      <c r="F106" s="27">
        <v>46114.0</v>
      </c>
      <c r="G106" s="27">
        <v>46115.0</v>
      </c>
      <c r="H106" s="27">
        <v>46116.0</v>
      </c>
      <c r="I106" s="25"/>
      <c r="J106" s="16"/>
      <c r="K106" s="16"/>
      <c r="L106" s="16"/>
    </row>
    <row r="107" ht="15.75" customHeight="1">
      <c r="A107" s="25"/>
      <c r="B107" s="48" t="str">
        <f>IFERROR(VLOOKUP(B106,'traspo ñ alterar'!$J$2:$M$500,2,FALSE),"")</f>
        <v>Conferência da Família</v>
      </c>
      <c r="C107" s="60" t="str">
        <f>IFERROR(VLOOKUP(C106,'traspo ñ alterar'!$J$2:$M$500,2,FALSE),"")</f>
        <v/>
      </c>
      <c r="D107" s="60" t="str">
        <f>IFERROR(VLOOKUP(D106,'traspo ñ alterar'!$J$2:$M$500,2,FALSE),"")</f>
        <v/>
      </c>
      <c r="E107" s="40" t="str">
        <f>IFERROR(VLOOKUP(E106,'traspo ñ alterar'!$J$2:$M$500,2,FALSE),"")</f>
        <v>Célula</v>
      </c>
      <c r="F107" s="40" t="str">
        <f>IFERROR(VLOOKUP(F106,'traspo ñ alterar'!$J$2:$M$500,2,FALSE),"")</f>
        <v>Futebol </v>
      </c>
      <c r="G107" s="40" t="str">
        <f>IFERROR(VLOOKUP(G106,'traspo ñ alterar'!$J$2:$M$500,2,FALSE),"")</f>
        <v>Vigília</v>
      </c>
      <c r="H107" s="40" t="str">
        <f>IFERROR(VLOOKUP(H106,'traspo ñ alterar'!$J$2:$M$500,2,FALSE),"")</f>
        <v/>
      </c>
      <c r="I107" s="25"/>
      <c r="J107" s="16"/>
      <c r="K107" s="16"/>
      <c r="L107" s="16"/>
    </row>
    <row r="108" ht="15.75" customHeight="1">
      <c r="A108" s="25"/>
      <c r="B108" s="48" t="str">
        <f>IFERROR(VLOOKUP(B106,'traspo ñ alterar'!$J$2:$M$500,3,FALSE),"")</f>
        <v/>
      </c>
      <c r="C108" s="60" t="str">
        <f>IFERROR(VLOOKUP(C106,'traspo ñ alterar'!$J$2:$M$500,3,FALSE),"")</f>
        <v/>
      </c>
      <c r="D108" s="60" t="str">
        <f>IFERROR(VLOOKUP(D106,'traspo ñ alterar'!$J$2:$M$500,3,FALSE),"")</f>
        <v/>
      </c>
      <c r="E108" s="40" t="str">
        <f>IFERROR(VLOOKUP(E106,'traspo ñ alterar'!$J$2:$M$500,3,FALSE),"")</f>
        <v/>
      </c>
      <c r="F108" s="40" t="str">
        <f>IFERROR(VLOOKUP(F106,'traspo ñ alterar'!$J$2:$M$500,3,FALSE),"")</f>
        <v/>
      </c>
      <c r="G108" s="40" t="str">
        <f>IFERROR(VLOOKUP(G106,'traspo ñ alterar'!$J$2:$M$500,3,FALSE),"")</f>
        <v/>
      </c>
      <c r="H108" s="40" t="str">
        <f>IFERROR(VLOOKUP(H106,'traspo ñ alterar'!$J$2:$M$500,3,FALSE),"")</f>
        <v/>
      </c>
      <c r="I108" s="25"/>
      <c r="J108" s="16"/>
      <c r="K108" s="16"/>
      <c r="L108" s="16"/>
    </row>
    <row r="109" ht="15.75" customHeight="1">
      <c r="A109" s="25"/>
      <c r="B109" s="48" t="str">
        <f>IFERROR(VLOOKUP(B106,'traspo ñ alterar'!$J$2:$M$500,4,FALSE),"")</f>
        <v/>
      </c>
      <c r="C109" s="60" t="str">
        <f>IFERROR(VLOOKUP(C106,'traspo ñ alterar'!$J$2:$M$500,4,FALSE),"")</f>
        <v/>
      </c>
      <c r="D109" s="60" t="str">
        <f>IFERROR(VLOOKUP(D106,'traspo ñ alterar'!$J$2:$M$500,4,FALSE),"")</f>
        <v/>
      </c>
      <c r="E109" s="40" t="str">
        <f>IFERROR(VLOOKUP(E106,'traspo ñ alterar'!$J$2:$M$500,4,FALSE),"")</f>
        <v/>
      </c>
      <c r="F109" s="40" t="str">
        <f>IFERROR(VLOOKUP(F106,'traspo ñ alterar'!$J$2:$M$500,4,FALSE),"")</f>
        <v/>
      </c>
      <c r="G109" s="40" t="str">
        <f>IFERROR(VLOOKUP(G106,'traspo ñ alterar'!$J$2:$M$500,4,FALSE),"")</f>
        <v/>
      </c>
      <c r="H109" s="40" t="str">
        <f>IFERROR(VLOOKUP(H106,'traspo ñ alterar'!$J$2:$M$500,4,FALSE),"")</f>
        <v/>
      </c>
      <c r="I109" s="25"/>
      <c r="J109" s="16"/>
      <c r="K109" s="16"/>
      <c r="L109" s="16"/>
    </row>
    <row r="110" ht="15.75" customHeight="1">
      <c r="A110" s="53"/>
      <c r="B110" s="69" t="str">
        <f>IFERROR(VLOOKUP(B107,'traspo ñ alterar'!$J$2:$M$500,5,FALSE),"")</f>
        <v/>
      </c>
      <c r="C110" s="66"/>
      <c r="D110" s="66"/>
      <c r="E110" s="42"/>
      <c r="F110" s="42"/>
      <c r="G110" s="42"/>
      <c r="H110" s="42"/>
      <c r="I110" s="53"/>
      <c r="J110" s="16"/>
      <c r="K110" s="16"/>
      <c r="L110" s="16"/>
    </row>
    <row r="111" ht="15.75" customHeight="1">
      <c r="A111" s="25"/>
      <c r="B111" s="37" t="str">
        <f t="array" ref="B111:H111">DiasESemanas+DATE(AnoCalendário,4,1)-WEEKDAY(DATE(AnoCalendário,4,1),(InícioDaSemana="segunda-feira")+1)+8</f>
        <v>5</v>
      </c>
      <c r="C111" s="37">
        <v>46118.0</v>
      </c>
      <c r="D111" s="37">
        <v>46119.0</v>
      </c>
      <c r="E111" s="37">
        <v>46120.0</v>
      </c>
      <c r="F111" s="37">
        <v>46121.0</v>
      </c>
      <c r="G111" s="37">
        <v>46122.0</v>
      </c>
      <c r="H111" s="37">
        <v>46123.0</v>
      </c>
      <c r="I111" s="25"/>
      <c r="J111" s="16"/>
      <c r="K111" s="16"/>
      <c r="L111" s="16"/>
    </row>
    <row r="112" ht="15.75" customHeight="1">
      <c r="A112" s="25"/>
      <c r="B112" s="39" t="str">
        <f>IFERROR(VLOOKUP(B111,'traspo ñ alterar'!$J$2:$M$500,2,FALSE),"")</f>
        <v>Café da Manha de Páscoa</v>
      </c>
      <c r="C112" s="40" t="str">
        <f>IFERROR(VLOOKUP(C111,'traspo ñ alterar'!$J$2:$M$500,2,FALSE),"")</f>
        <v/>
      </c>
      <c r="D112" s="40" t="str">
        <f>IFERROR(VLOOKUP(D111,'traspo ñ alterar'!$J$2:$M$500,2,FALSE),"")</f>
        <v/>
      </c>
      <c r="E112" s="40" t="str">
        <f>IFERROR(VLOOKUP(E111,'traspo ñ alterar'!$J$2:$M$500,2,FALSE),"")</f>
        <v>Célula</v>
      </c>
      <c r="F112" s="40" t="str">
        <f>IFERROR(VLOOKUP(F111,'traspo ñ alterar'!$J$2:$M$500,2,FALSE),"")</f>
        <v>Encontro Mensal de Mulheres</v>
      </c>
      <c r="G112" s="40" t="str">
        <f>IFERROR(VLOOKUP(G111,'traspo ñ alterar'!$J$2:$M$500,2,FALSE),"")</f>
        <v>Sexta cabeceira</v>
      </c>
      <c r="H112" s="40" t="str">
        <f>IFERROR(VLOOKUP(H111,'traspo ñ alterar'!$J$2:$M$500,2,FALSE),"")</f>
        <v>Relogio de oração</v>
      </c>
      <c r="I112" s="25"/>
      <c r="J112" s="16"/>
      <c r="K112" s="16"/>
      <c r="L112" s="16"/>
    </row>
    <row r="113" ht="15.75" customHeight="1">
      <c r="A113" s="25"/>
      <c r="B113" s="39" t="str">
        <f>IFERROR(VLOOKUP(B111,'traspo ñ alterar'!$J$2:$M$500,3,FALSE),"")</f>
        <v>Teatro de Páscoa</v>
      </c>
      <c r="C113" s="40" t="str">
        <f>IFERROR(VLOOKUP(C111,'traspo ñ alterar'!$J$2:$M$500,3,FALSE),"")</f>
        <v/>
      </c>
      <c r="D113" s="40" t="str">
        <f>IFERROR(VLOOKUP(D111,'traspo ñ alterar'!$J$2:$M$500,3,FALSE),"")</f>
        <v/>
      </c>
      <c r="E113" s="40" t="str">
        <f>IFERROR(VLOOKUP(E111,'traspo ñ alterar'!$J$2:$M$500,3,FALSE),"")</f>
        <v/>
      </c>
      <c r="F113" s="40" t="str">
        <f>IFERROR(VLOOKUP(F111,'traspo ñ alterar'!$J$2:$M$500,3,FALSE),"")</f>
        <v/>
      </c>
      <c r="G113" s="40" t="str">
        <f>IFERROR(VLOOKUP(G111,'traspo ñ alterar'!$J$2:$M$500,3,FALSE),"")</f>
        <v/>
      </c>
      <c r="H113" s="40" t="str">
        <f>IFERROR(VLOOKUP(H111,'traspo ñ alterar'!$J$2:$M$500,3,FALSE),"")</f>
        <v>Inteensos</v>
      </c>
      <c r="I113" s="25"/>
      <c r="J113" s="16"/>
      <c r="K113" s="16"/>
      <c r="L113" s="16"/>
    </row>
    <row r="114" ht="15.75" customHeight="1">
      <c r="A114" s="25"/>
      <c r="B114" s="39" t="str">
        <f>IFERROR(VLOOKUP(B111,'traspo ñ alterar'!$J$2:$M$500,4,FALSE),"")</f>
        <v>Culto em Rio Brilhante</v>
      </c>
      <c r="C114" s="40" t="str">
        <f>IFERROR(VLOOKUP(C111,'traspo ñ alterar'!$J$2:$M$500,4,FALSE),"")</f>
        <v/>
      </c>
      <c r="D114" s="40" t="str">
        <f>IFERROR(VLOOKUP(D111,'traspo ñ alterar'!$J$2:$M$500,4,FALSE),"")</f>
        <v/>
      </c>
      <c r="E114" s="40" t="str">
        <f>IFERROR(VLOOKUP(E111,'traspo ñ alterar'!$J$2:$M$500,4,FALSE),"")</f>
        <v/>
      </c>
      <c r="F114" s="40" t="str">
        <f>IFERROR(VLOOKUP(F111,'traspo ñ alterar'!$J$2:$M$500,4,FALSE),"")</f>
        <v/>
      </c>
      <c r="G114" s="40" t="str">
        <f>IFERROR(VLOOKUP(G111,'traspo ñ alterar'!$J$2:$M$500,4,FALSE),"")</f>
        <v/>
      </c>
      <c r="H114" s="40" t="str">
        <f>IFERROR(VLOOKUP(H111,'traspo ñ alterar'!$J$2:$M$500,4,FALSE),"")</f>
        <v/>
      </c>
      <c r="I114" s="25"/>
      <c r="J114" s="16"/>
      <c r="K114" s="16"/>
      <c r="L114" s="16"/>
    </row>
    <row r="115" ht="15.75" customHeight="1">
      <c r="A115" s="53"/>
      <c r="B115" s="41" t="str">
        <f>IFERROR(VLOOKUP(B112,'traspo ñ alterar'!$J$2:$M$500,5,FALSE),"")</f>
        <v/>
      </c>
      <c r="C115" s="42"/>
      <c r="D115" s="42"/>
      <c r="E115" s="42"/>
      <c r="F115" s="42"/>
      <c r="G115" s="42"/>
      <c r="H115" s="42"/>
      <c r="I115" s="53"/>
      <c r="J115" s="16"/>
      <c r="K115" s="16"/>
      <c r="L115" s="16"/>
    </row>
    <row r="116" ht="15.75" customHeight="1">
      <c r="A116" s="25"/>
      <c r="B116" s="37" t="str">
        <f t="array" ref="B116:H116">DiasESemanas+DATE(AnoCalendário,4,1)-WEEKDAY(DATE(AnoCalendário,4,1),(InícioDaSemana="segunda-feira")+1)+15</f>
        <v>12</v>
      </c>
      <c r="C116" s="37">
        <v>46125.0</v>
      </c>
      <c r="D116" s="37">
        <v>46126.0</v>
      </c>
      <c r="E116" s="37">
        <v>46127.0</v>
      </c>
      <c r="F116" s="37">
        <v>46128.0</v>
      </c>
      <c r="G116" s="37">
        <v>46129.0</v>
      </c>
      <c r="H116" s="37">
        <v>46130.0</v>
      </c>
      <c r="I116" s="25"/>
      <c r="J116" s="16"/>
      <c r="K116" s="16"/>
      <c r="L116" s="16"/>
    </row>
    <row r="117" ht="15.75" customHeight="1">
      <c r="A117" s="25"/>
      <c r="B117" s="39" t="str">
        <f>IFERROR(VLOOKUP(B116,'traspo ñ alterar'!$J$2:$M$500,2,FALSE),"")</f>
        <v>Dia do Pastor Metodista</v>
      </c>
      <c r="C117" s="40" t="str">
        <f>IFERROR(VLOOKUP(C116,'traspo ñ alterar'!$J$2:$M$500,2,FALSE),"")</f>
        <v/>
      </c>
      <c r="D117" s="40" t="str">
        <f>IFERROR(VLOOKUP(D116,'traspo ñ alterar'!$J$2:$M$500,2,FALSE),"")</f>
        <v/>
      </c>
      <c r="E117" s="40" t="str">
        <f>IFERROR(VLOOKUP(E116,'traspo ñ alterar'!$J$2:$M$500,2,FALSE),"")</f>
        <v>Célula</v>
      </c>
      <c r="F117" s="40" t="str">
        <f>IFERROR(VLOOKUP(F116,'traspo ñ alterar'!$J$2:$M$500,2,FALSE),"")</f>
        <v>Culto de homens</v>
      </c>
      <c r="G117" s="40" t="str">
        <f>IFERROR(VLOOKUP(G116,'traspo ñ alterar'!$J$2:$M$500,2,FALSE),"")</f>
        <v>Sexta cabeceira</v>
      </c>
      <c r="H117" s="40" t="str">
        <f>IFERROR(VLOOKUP(H116,'traspo ñ alterar'!$J$2:$M$500,2,FALSE),"")</f>
        <v/>
      </c>
      <c r="I117" s="25"/>
      <c r="J117" s="16"/>
      <c r="K117" s="16"/>
      <c r="L117" s="16"/>
    </row>
    <row r="118" ht="15.75" customHeight="1">
      <c r="A118" s="25"/>
      <c r="B118" s="39" t="str">
        <f>IFERROR(VLOOKUP(B116,'traspo ñ alterar'!$J$2:$M$500,3,FALSE),"")</f>
        <v>Cantina prol GE</v>
      </c>
      <c r="C118" s="40" t="str">
        <f>IFERROR(VLOOKUP(C116,'traspo ñ alterar'!$J$2:$M$500,3,FALSE),"")</f>
        <v/>
      </c>
      <c r="D118" s="40" t="str">
        <f>IFERROR(VLOOKUP(D116,'traspo ñ alterar'!$J$2:$M$500,3,FALSE),"")</f>
        <v/>
      </c>
      <c r="E118" s="40" t="str">
        <f>IFERROR(VLOOKUP(E116,'traspo ñ alterar'!$J$2:$M$500,3,FALSE),"")</f>
        <v/>
      </c>
      <c r="F118" s="40" t="str">
        <f>IFERROR(VLOOKUP(F116,'traspo ñ alterar'!$J$2:$M$500,3,FALSE),"")</f>
        <v/>
      </c>
      <c r="G118" s="40" t="str">
        <f>IFERROR(VLOOKUP(G116,'traspo ñ alterar'!$J$2:$M$500,3,FALSE),"")</f>
        <v/>
      </c>
      <c r="H118" s="40" t="str">
        <f>IFERROR(VLOOKUP(H116,'traspo ñ alterar'!$J$2:$M$500,3,FALSE),"")</f>
        <v/>
      </c>
      <c r="I118" s="25"/>
      <c r="J118" s="16"/>
      <c r="K118" s="16"/>
      <c r="L118" s="16"/>
    </row>
    <row r="119" ht="15.75" customHeight="1">
      <c r="A119" s="25"/>
      <c r="B119" s="39" t="str">
        <f>IFERROR(VLOOKUP(B116,'traspo ñ alterar'!$J$2:$M$500,4,FALSE),"")</f>
        <v/>
      </c>
      <c r="C119" s="40" t="str">
        <f>IFERROR(VLOOKUP(C116,'traspo ñ alterar'!$J$2:$M$500,4,FALSE),"")</f>
        <v/>
      </c>
      <c r="D119" s="40" t="str">
        <f>IFERROR(VLOOKUP(D116,'traspo ñ alterar'!$J$2:$M$500,4,FALSE),"")</f>
        <v/>
      </c>
      <c r="E119" s="40" t="str">
        <f>IFERROR(VLOOKUP(E116,'traspo ñ alterar'!$J$2:$M$500,4,FALSE),"")</f>
        <v/>
      </c>
      <c r="F119" s="40" t="str">
        <f>IFERROR(VLOOKUP(F116,'traspo ñ alterar'!$J$2:$M$500,4,FALSE),"")</f>
        <v/>
      </c>
      <c r="G119" s="40" t="str">
        <f>IFERROR(VLOOKUP(G116,'traspo ñ alterar'!$J$2:$M$500,4,FALSE),"")</f>
        <v/>
      </c>
      <c r="H119" s="40" t="str">
        <f>IFERROR(VLOOKUP(H116,'traspo ñ alterar'!$J$2:$M$500,4,FALSE),"")</f>
        <v/>
      </c>
      <c r="I119" s="25"/>
      <c r="J119" s="16"/>
      <c r="K119" s="16"/>
      <c r="L119" s="16"/>
    </row>
    <row r="120" ht="15.75" customHeight="1">
      <c r="A120" s="53"/>
      <c r="B120" s="41" t="str">
        <f>IFERROR(VLOOKUP(B117,'traspo ñ alterar'!$J$2:$M$500,5,FALSE),"")</f>
        <v/>
      </c>
      <c r="C120" s="42"/>
      <c r="D120" s="42"/>
      <c r="E120" s="42"/>
      <c r="F120" s="42"/>
      <c r="G120" s="42"/>
      <c r="H120" s="42"/>
      <c r="I120" s="53"/>
      <c r="J120" s="16"/>
      <c r="K120" s="16"/>
      <c r="L120" s="16"/>
    </row>
    <row r="121" ht="15.75" customHeight="1">
      <c r="A121" s="25"/>
      <c r="B121" s="37" t="str">
        <f t="array" ref="B121:H121">DiasESemanas+DATE(AnoCalendário,4,1)-WEEKDAY(DATE(AnoCalendário,4,1),(InícioDaSemana="segunda-feira")+1)+22</f>
        <v>19</v>
      </c>
      <c r="C121" s="37">
        <v>46132.0</v>
      </c>
      <c r="D121" s="37">
        <v>46133.0</v>
      </c>
      <c r="E121" s="37">
        <v>46134.0</v>
      </c>
      <c r="F121" s="37">
        <v>46135.0</v>
      </c>
      <c r="G121" s="37">
        <v>46136.0</v>
      </c>
      <c r="H121" s="37">
        <v>46137.0</v>
      </c>
      <c r="I121" s="25"/>
      <c r="J121" s="16"/>
      <c r="K121" s="16"/>
      <c r="L121" s="16"/>
    </row>
    <row r="122" ht="15.75" customHeight="1">
      <c r="A122" s="25"/>
      <c r="B122" s="39" t="str">
        <f>IFERROR(VLOOKUP(B121,'traspo ñ alterar'!$J$2:$M$500,2,FALSE),"")</f>
        <v/>
      </c>
      <c r="C122" s="40" t="str">
        <f>IFERROR(VLOOKUP(C121,'traspo ñ alterar'!$J$2:$M$500,2,FALSE),"")</f>
        <v>Clamor on line</v>
      </c>
      <c r="D122" s="40" t="str">
        <f>IFERROR(VLOOKUP(D121,'traspo ñ alterar'!$J$2:$M$500,2,FALSE),"")</f>
        <v>Clamor on line</v>
      </c>
      <c r="E122" s="40" t="str">
        <f>IFERROR(VLOOKUP(E121,'traspo ñ alterar'!$J$2:$M$500,2,FALSE),"")</f>
        <v>Célula</v>
      </c>
      <c r="F122" s="40" t="str">
        <f>IFERROR(VLOOKUP(F121,'traspo ñ alterar'!$J$2:$M$500,2,FALSE),"")</f>
        <v>Clamor on line</v>
      </c>
      <c r="G122" s="40" t="str">
        <f>IFERROR(VLOOKUP(G121,'traspo ñ alterar'!$J$2:$M$500,2,FALSE),"")</f>
        <v>Sexta cabeceira</v>
      </c>
      <c r="H122" s="40" t="str">
        <f>IFERROR(VLOOKUP(H121,'traspo ñ alterar'!$J$2:$M$500,2,FALSE),"")</f>
        <v>Conferência de Discipulado</v>
      </c>
      <c r="I122" s="25"/>
      <c r="J122" s="16"/>
      <c r="K122" s="16"/>
      <c r="L122" s="16"/>
    </row>
    <row r="123" ht="15.75" customHeight="1">
      <c r="A123" s="25"/>
      <c r="B123" s="39" t="str">
        <f>IFERROR(VLOOKUP(B121,'traspo ñ alterar'!$J$2:$M$500,3,FALSE),"")</f>
        <v/>
      </c>
      <c r="C123" s="40" t="str">
        <f>IFERROR(VLOOKUP(C121,'traspo ñ alterar'!$J$2:$M$500,3,FALSE),"")</f>
        <v/>
      </c>
      <c r="D123" s="40" t="str">
        <f>IFERROR(VLOOKUP(D121,'traspo ñ alterar'!$J$2:$M$500,3,FALSE),"")</f>
        <v/>
      </c>
      <c r="E123" s="40" t="str">
        <f>IFERROR(VLOOKUP(E121,'traspo ñ alterar'!$J$2:$M$500,3,FALSE),"")</f>
        <v>Clamor on line</v>
      </c>
      <c r="F123" s="40" t="str">
        <f>IFERROR(VLOOKUP(F121,'traspo ñ alterar'!$J$2:$M$500,3,FALSE),"")</f>
        <v/>
      </c>
      <c r="G123" s="40" t="str">
        <f>IFERROR(VLOOKUP(G121,'traspo ñ alterar'!$J$2:$M$500,3,FALSE),"")</f>
        <v>Clamor on line</v>
      </c>
      <c r="H123" s="40" t="str">
        <f>IFERROR(VLOOKUP(H121,'traspo ñ alterar'!$J$2:$M$500,3,FALSE),"")</f>
        <v/>
      </c>
      <c r="I123" s="25"/>
      <c r="J123" s="16"/>
      <c r="K123" s="16"/>
      <c r="L123" s="16"/>
    </row>
    <row r="124" ht="15.75" customHeight="1">
      <c r="A124" s="25"/>
      <c r="B124" s="39" t="str">
        <f>IFERROR(VLOOKUP(B121,'traspo ñ alterar'!$J$2:$M$500,4,FALSE),"")</f>
        <v/>
      </c>
      <c r="C124" s="40" t="str">
        <f>IFERROR(VLOOKUP(C121,'traspo ñ alterar'!$J$2:$M$500,4,FALSE),"")</f>
        <v/>
      </c>
      <c r="D124" s="40" t="str">
        <f>IFERROR(VLOOKUP(D121,'traspo ñ alterar'!$J$2:$M$500,4,FALSE),"")</f>
        <v/>
      </c>
      <c r="E124" s="40" t="str">
        <f>IFERROR(VLOOKUP(E121,'traspo ñ alterar'!$J$2:$M$500,4,FALSE),"")</f>
        <v/>
      </c>
      <c r="F124" s="40" t="str">
        <f>IFERROR(VLOOKUP(F121,'traspo ñ alterar'!$J$2:$M$500,4,FALSE),"")</f>
        <v/>
      </c>
      <c r="G124" s="40" t="str">
        <f>IFERROR(VLOOKUP(G121,'traspo ñ alterar'!$J$2:$M$500,4,FALSE),"")</f>
        <v/>
      </c>
      <c r="H124" s="40" t="str">
        <f>IFERROR(VLOOKUP(H121,'traspo ñ alterar'!$J$2:$M$500,4,FALSE),"")</f>
        <v/>
      </c>
      <c r="I124" s="25"/>
      <c r="J124" s="16"/>
      <c r="K124" s="16"/>
      <c r="L124" s="16"/>
    </row>
    <row r="125" ht="15.75" customHeight="1">
      <c r="A125" s="53"/>
      <c r="B125" s="41" t="str">
        <f>IFERROR(VLOOKUP(B122,'traspo ñ alterar'!$J$2:$M$500,5,FALSE),"")</f>
        <v/>
      </c>
      <c r="C125" s="42"/>
      <c r="D125" s="42"/>
      <c r="E125" s="42"/>
      <c r="F125" s="42"/>
      <c r="G125" s="42"/>
      <c r="H125" s="42"/>
      <c r="I125" s="53"/>
      <c r="J125" s="16"/>
      <c r="K125" s="16"/>
      <c r="L125" s="16"/>
    </row>
    <row r="126" ht="15.75" customHeight="1">
      <c r="A126" s="25"/>
      <c r="B126" s="37" t="str">
        <f t="array" ref="B126:H126">DiasESemanas+DATE(AnoCalendário,4,1)-WEEKDAY(DATE(AnoCalendário,4,1),(InícioDaSemana="segunda-feira")+1)+29</f>
        <v>26</v>
      </c>
      <c r="C126" s="37">
        <v>46139.0</v>
      </c>
      <c r="D126" s="37">
        <v>46140.0</v>
      </c>
      <c r="E126" s="37">
        <v>46141.0</v>
      </c>
      <c r="F126" s="37">
        <v>46142.0</v>
      </c>
      <c r="G126" s="37">
        <v>46143.0</v>
      </c>
      <c r="H126" s="37">
        <v>46144.0</v>
      </c>
      <c r="I126" s="25"/>
      <c r="J126" s="16"/>
      <c r="K126" s="16"/>
      <c r="L126" s="16"/>
    </row>
    <row r="127" ht="15.75" customHeight="1">
      <c r="A127" s="25"/>
      <c r="B127" s="39" t="str">
        <f>IFERROR(VLOOKUP(B126,'traspo ñ alterar'!$J$2:$M$500,2,FALSE),"")</f>
        <v>Conferência de Discipulado</v>
      </c>
      <c r="C127" s="40" t="str">
        <f>IFERROR(VLOOKUP(C126,'traspo ñ alterar'!$J$2:$M$500,2,FALSE),"")</f>
        <v/>
      </c>
      <c r="D127" s="40" t="str">
        <f>IFERROR(VLOOKUP(D126,'traspo ñ alterar'!$J$2:$M$500,2,FALSE),"")</f>
        <v/>
      </c>
      <c r="E127" s="40" t="str">
        <f>IFERROR(VLOOKUP(E126,'traspo ñ alterar'!$J$2:$M$500,2,FALSE),"")</f>
        <v>Célula</v>
      </c>
      <c r="F127" s="40" t="str">
        <f>IFERROR(VLOOKUP(F126,'traspo ñ alterar'!$J$2:$M$500,2,FALSE),"")</f>
        <v>Futebol </v>
      </c>
      <c r="G127" s="60" t="str">
        <f>IFERROR(VLOOKUP(G126,'traspo ñ alterar'!$J$2:$M$500,2,FALSE),"")</f>
        <v/>
      </c>
      <c r="H127" s="60" t="str">
        <f>IFERROR(VLOOKUP(H126,'traspo ñ alterar'!$J$2:$M$500,2,FALSE),"")</f>
        <v>Mães e Filhos</v>
      </c>
      <c r="I127" s="25"/>
      <c r="J127" s="16"/>
      <c r="K127" s="16"/>
      <c r="L127" s="16"/>
    </row>
    <row r="128" ht="15.75" customHeight="1">
      <c r="A128" s="25"/>
      <c r="B128" s="39" t="str">
        <f>IFERROR(VLOOKUP(B126,'traspo ñ alterar'!$J$2:$M$500,3,FALSE),"")</f>
        <v>Oficina de chocolate</v>
      </c>
      <c r="C128" s="40" t="str">
        <f>IFERROR(VLOOKUP(C126,'traspo ñ alterar'!$J$2:$M$500,3,FALSE),"")</f>
        <v/>
      </c>
      <c r="D128" s="40" t="str">
        <f>IFERROR(VLOOKUP(D126,'traspo ñ alterar'!$J$2:$M$500,3,FALSE),"")</f>
        <v/>
      </c>
      <c r="E128" s="40" t="str">
        <f>IFERROR(VLOOKUP(E126,'traspo ñ alterar'!$J$2:$M$500,3,FALSE),"")</f>
        <v/>
      </c>
      <c r="F128" s="40" t="str">
        <f>IFERROR(VLOOKUP(F126,'traspo ñ alterar'!$J$2:$M$500,3,FALSE),"")</f>
        <v/>
      </c>
      <c r="G128" s="60" t="str">
        <f>IFERROR(VLOOKUP(G126,'traspo ñ alterar'!$J$2:$M$500,3,FALSE),"")</f>
        <v/>
      </c>
      <c r="H128" s="60" t="str">
        <f>IFERROR(VLOOKUP(H126,'traspo ñ alterar'!$J$2:$M$500,3,FALSE),"")</f>
        <v/>
      </c>
      <c r="I128" s="25"/>
      <c r="J128" s="16"/>
      <c r="K128" s="16"/>
      <c r="L128" s="16"/>
    </row>
    <row r="129" ht="15.75" customHeight="1">
      <c r="A129" s="25"/>
      <c r="B129" s="39" t="str">
        <f>IFERROR(VLOOKUP(B126,'traspo ñ alterar'!$J$2:$M$500,4,FALSE),"")</f>
        <v>Culto missionário</v>
      </c>
      <c r="C129" s="40" t="str">
        <f>IFERROR(VLOOKUP(C126,'traspo ñ alterar'!$J$2:$M$500,4,FALSE),"")</f>
        <v/>
      </c>
      <c r="D129" s="40" t="str">
        <f>IFERROR(VLOOKUP(D126,'traspo ñ alterar'!$J$2:$M$500,4,FALSE),"")</f>
        <v/>
      </c>
      <c r="E129" s="40" t="str">
        <f>IFERROR(VLOOKUP(E126,'traspo ñ alterar'!$J$2:$M$500,4,FALSE),"")</f>
        <v/>
      </c>
      <c r="F129" s="40" t="str">
        <f>IFERROR(VLOOKUP(F126,'traspo ñ alterar'!$J$2:$M$500,4,FALSE),"")</f>
        <v/>
      </c>
      <c r="G129" s="60" t="str">
        <f>IFERROR(VLOOKUP(G126,'traspo ñ alterar'!$J$2:$M$500,4,FALSE),"")</f>
        <v/>
      </c>
      <c r="H129" s="60" t="str">
        <f>IFERROR(VLOOKUP(H126,'traspo ñ alterar'!$J$2:$M$500,4,FALSE),"")</f>
        <v/>
      </c>
      <c r="I129" s="25"/>
      <c r="J129" s="16"/>
      <c r="K129" s="16"/>
      <c r="L129" s="16"/>
    </row>
    <row r="130" ht="15.75" customHeight="1">
      <c r="A130" s="53"/>
      <c r="B130" s="41" t="str">
        <f>IFERROR(VLOOKUP(B127,'traspo ñ alterar'!$J$2:$M$500,5,FALSE),"")</f>
        <v/>
      </c>
      <c r="C130" s="42"/>
      <c r="D130" s="42"/>
      <c r="E130" s="42"/>
      <c r="F130" s="42"/>
      <c r="G130" s="66"/>
      <c r="H130" s="66"/>
      <c r="I130" s="53"/>
      <c r="J130" s="16"/>
      <c r="K130" s="16"/>
      <c r="L130" s="16"/>
    </row>
    <row r="131" ht="15.75" customHeight="1">
      <c r="A131" s="25"/>
      <c r="B131" s="37" t="str">
        <f t="array" ref="B131:C131">DiasESemanas+DATE(AnoCalendário,4,1)-WEEKDAY(DATE(AnoCalendário,4,1),(InícioDaSemana="segunda-feira")+1)+36</f>
        <v>3</v>
      </c>
      <c r="C131" s="37">
        <v>46146.0</v>
      </c>
      <c r="D131" s="50" t="s">
        <v>133</v>
      </c>
      <c r="H131" s="63"/>
      <c r="I131" s="25"/>
      <c r="J131" s="16"/>
      <c r="K131" s="16"/>
      <c r="L131" s="16"/>
    </row>
    <row r="132" ht="15.75" customHeight="1">
      <c r="A132" s="25"/>
      <c r="B132" s="48" t="str">
        <f>IFERROR(VLOOKUP(B131,'traspo ñ alterar'!$J$2:$M$500,2,FALSE),"")</f>
        <v>Culto em Rio Brilhante</v>
      </c>
      <c r="C132" s="60" t="str">
        <f>IFERROR(VLOOKUP(C131,'traspo ñ alterar'!$J$2:$M$500,2,FALSE),"")</f>
        <v/>
      </c>
      <c r="D132" s="50"/>
      <c r="E132" s="51"/>
      <c r="F132" s="51"/>
      <c r="G132" s="51"/>
      <c r="H132" s="52"/>
      <c r="I132" s="25"/>
      <c r="J132" s="16"/>
      <c r="K132" s="16"/>
      <c r="L132" s="16"/>
    </row>
    <row r="133" ht="15.75" customHeight="1">
      <c r="A133" s="25"/>
      <c r="B133" s="48" t="str">
        <f>IFERROR(VLOOKUP(B131,'traspo ñ alterar'!$J$2:$M$500,3,FALSE),"")</f>
        <v/>
      </c>
      <c r="C133" s="60" t="str">
        <f>IFERROR(VLOOKUP(C131,'traspo ñ alterar'!$J$2:$M$500,3,FALSE),"")</f>
        <v/>
      </c>
      <c r="D133" s="50"/>
      <c r="E133" s="51"/>
      <c r="F133" s="51"/>
      <c r="G133" s="51"/>
      <c r="H133" s="52"/>
      <c r="I133" s="25"/>
      <c r="J133" s="16"/>
      <c r="K133" s="16"/>
      <c r="L133" s="16"/>
    </row>
    <row r="134" ht="15.75" customHeight="1">
      <c r="A134" s="25"/>
      <c r="B134" s="48" t="str">
        <f>IFERROR(VLOOKUP(B131,'traspo ñ alterar'!$J$2:$M$500,4,FALSE),"")</f>
        <v/>
      </c>
      <c r="C134" s="60" t="str">
        <f>IFERROR(VLOOKUP(C131,'traspo ñ alterar'!$J$2:$M$500,4,FALSE),"")</f>
        <v/>
      </c>
      <c r="D134" s="50"/>
      <c r="E134" s="51"/>
      <c r="F134" s="51"/>
      <c r="G134" s="51"/>
      <c r="H134" s="52"/>
      <c r="I134" s="25"/>
      <c r="J134" s="16"/>
      <c r="K134" s="16"/>
      <c r="L134" s="16"/>
    </row>
    <row r="135" ht="15.75" customHeight="1">
      <c r="A135" s="53"/>
      <c r="B135" s="70" t="str">
        <f>IFERROR(VLOOKUP(B132,'traspo ñ alterar'!$J$2:$M$500,5,FALSE),"")</f>
        <v/>
      </c>
      <c r="C135" s="64"/>
      <c r="D135" s="56"/>
      <c r="E135" s="57"/>
      <c r="F135" s="57"/>
      <c r="G135" s="57"/>
      <c r="H135" s="58"/>
      <c r="I135" s="53"/>
      <c r="J135" s="16"/>
      <c r="K135" s="16"/>
      <c r="L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 t="s">
        <v>128</v>
      </c>
      <c r="J137" s="16"/>
      <c r="K137" s="16"/>
      <c r="L137" s="16"/>
    </row>
    <row r="138" ht="15.75" customHeight="1">
      <c r="A138" s="16"/>
      <c r="B138" s="17" t="str">
        <f>"Maio "&amp;AnoCalendário</f>
        <v>Maio 2026</v>
      </c>
      <c r="E138" s="18"/>
      <c r="F138" s="18"/>
      <c r="G138" s="18"/>
      <c r="H138" s="19"/>
      <c r="I138" s="16"/>
      <c r="J138" s="16"/>
      <c r="K138" s="16"/>
      <c r="L138" s="16"/>
    </row>
    <row r="139" ht="15.75" customHeight="1">
      <c r="A139" s="20"/>
      <c r="B139" s="22" t="str">
        <f>InícioDaSemana</f>
        <v>domingo</v>
      </c>
      <c r="C139" s="22" t="str">
        <f t="shared" ref="C139:H139" si="5">TEXT(C140,"dddd")</f>
        <v>Monday</v>
      </c>
      <c r="D139" s="22" t="str">
        <f t="shared" si="5"/>
        <v>Tuesday</v>
      </c>
      <c r="E139" s="22" t="str">
        <f t="shared" si="5"/>
        <v>Wednesday</v>
      </c>
      <c r="F139" s="22" t="str">
        <f t="shared" si="5"/>
        <v>Thursday</v>
      </c>
      <c r="G139" s="22" t="str">
        <f t="shared" si="5"/>
        <v>Friday</v>
      </c>
      <c r="H139" s="22" t="str">
        <f t="shared" si="5"/>
        <v>Saturday</v>
      </c>
      <c r="I139" s="20"/>
      <c r="J139" s="16"/>
      <c r="K139" s="16"/>
      <c r="L139" s="16"/>
    </row>
    <row r="140" ht="15.75" customHeight="1">
      <c r="A140" s="25"/>
      <c r="B140" s="27" t="str">
        <f t="array" ref="B140:H140">DiasESemanas+DATE(AnoCalendário,5,1)-WEEKDAY(DATE(AnoCalendário,5,1),(InícioDaSemana="segunda-feira")+1)+1</f>
        <v>26</v>
      </c>
      <c r="C140" s="27">
        <v>46139.0</v>
      </c>
      <c r="D140" s="27">
        <v>46140.0</v>
      </c>
      <c r="E140" s="27">
        <v>46141.0</v>
      </c>
      <c r="F140" s="27">
        <v>46142.0</v>
      </c>
      <c r="G140" s="27">
        <v>46143.0</v>
      </c>
      <c r="H140" s="27">
        <v>46144.0</v>
      </c>
      <c r="I140" s="25"/>
      <c r="J140" s="16"/>
      <c r="K140" s="16"/>
      <c r="L140" s="16"/>
    </row>
    <row r="141" ht="15.75" customHeight="1">
      <c r="A141" s="25"/>
      <c r="B141" s="48" t="str">
        <f>IFERROR(VLOOKUP(B140,'traspo ñ alterar'!$J$2:$M$500,2,FALSE),"")</f>
        <v>Conferência de Discipulado</v>
      </c>
      <c r="C141" s="60" t="str">
        <f>IFERROR(VLOOKUP(C140,'traspo ñ alterar'!$J$2:$M$500,2,FALSE),"")</f>
        <v/>
      </c>
      <c r="D141" s="60" t="str">
        <f>IFERROR(VLOOKUP(D140,'traspo ñ alterar'!$J$2:$M$500,2,FALSE),"")</f>
        <v/>
      </c>
      <c r="E141" s="60" t="str">
        <f>IFERROR(VLOOKUP(E140,'traspo ñ alterar'!$J$2:$M$500,2,FALSE),"")</f>
        <v>Célula</v>
      </c>
      <c r="F141" s="60" t="str">
        <f>IFERROR(VLOOKUP(F140,'traspo ñ alterar'!$J$2:$M$500,2,FALSE),"")</f>
        <v>Futebol </v>
      </c>
      <c r="G141" s="40" t="str">
        <f>IFERROR(VLOOKUP(G140,'traspo ñ alterar'!$J$2:$M$500,2,FALSE),"")</f>
        <v/>
      </c>
      <c r="H141" s="40" t="str">
        <f>IFERROR(VLOOKUP(H140,'traspo ñ alterar'!$J$2:$M$500,2,FALSE),"")</f>
        <v>Mães e Filhos</v>
      </c>
      <c r="I141" s="25"/>
      <c r="J141" s="16"/>
      <c r="K141" s="16"/>
      <c r="L141" s="16"/>
    </row>
    <row r="142" ht="15.75" customHeight="1">
      <c r="A142" s="25"/>
      <c r="B142" s="48" t="str">
        <f>IFERROR(VLOOKUP(B140,'traspo ñ alterar'!$J$2:$M$500,3,FALSE),"")</f>
        <v>Oficina de chocolate</v>
      </c>
      <c r="C142" s="60" t="str">
        <f>IFERROR(VLOOKUP(C140,'traspo ñ alterar'!$J$2:$M$500,3,FALSE),"")</f>
        <v/>
      </c>
      <c r="D142" s="60" t="str">
        <f>IFERROR(VLOOKUP(D140,'traspo ñ alterar'!$J$2:$M$500,3,FALSE),"")</f>
        <v/>
      </c>
      <c r="E142" s="60" t="str">
        <f>IFERROR(VLOOKUP(E140,'traspo ñ alterar'!$J$2:$M$500,3,FALSE),"")</f>
        <v/>
      </c>
      <c r="F142" s="60" t="str">
        <f>IFERROR(VLOOKUP(F140,'traspo ñ alterar'!$J$2:$M$500,3,FALSE),"")</f>
        <v/>
      </c>
      <c r="G142" s="40" t="str">
        <f>IFERROR(VLOOKUP(G140,'traspo ñ alterar'!$J$2:$M$500,3,FALSE),"")</f>
        <v/>
      </c>
      <c r="H142" s="40" t="str">
        <f>IFERROR(VLOOKUP(H140,'traspo ñ alterar'!$J$2:$M$500,3,FALSE),"")</f>
        <v/>
      </c>
      <c r="I142" s="25"/>
      <c r="J142" s="16"/>
      <c r="K142" s="16"/>
      <c r="L142" s="16"/>
    </row>
    <row r="143" ht="15.75" customHeight="1">
      <c r="A143" s="25"/>
      <c r="B143" s="48" t="str">
        <f>IFERROR(VLOOKUP(B140,'traspo ñ alterar'!$J$2:$M$500,4,FALSE),"")</f>
        <v>Culto missionário</v>
      </c>
      <c r="C143" s="60" t="str">
        <f>IFERROR(VLOOKUP(C140,'traspo ñ alterar'!$J$2:$M$500,4,FALSE),"")</f>
        <v/>
      </c>
      <c r="D143" s="60" t="str">
        <f>IFERROR(VLOOKUP(D140,'traspo ñ alterar'!$J$2:$M$500,4,FALSE),"")</f>
        <v/>
      </c>
      <c r="E143" s="60" t="str">
        <f>IFERROR(VLOOKUP(E140,'traspo ñ alterar'!$J$2:$M$500,4,FALSE),"")</f>
        <v/>
      </c>
      <c r="F143" s="60" t="str">
        <f>IFERROR(VLOOKUP(F140,'traspo ñ alterar'!$J$2:$M$500,4,FALSE),"")</f>
        <v/>
      </c>
      <c r="G143" s="40" t="str">
        <f>IFERROR(VLOOKUP(G140,'traspo ñ alterar'!$J$2:$M$500,4,FALSE),"")</f>
        <v/>
      </c>
      <c r="H143" s="40" t="str">
        <f>IFERROR(VLOOKUP(H140,'traspo ñ alterar'!$J$2:$M$500,4,FALSE),"")</f>
        <v/>
      </c>
      <c r="I143" s="25"/>
      <c r="J143" s="16"/>
      <c r="K143" s="16"/>
      <c r="L143" s="16"/>
    </row>
    <row r="144" ht="15.75" customHeight="1">
      <c r="A144" s="53"/>
      <c r="B144" s="69" t="str">
        <f>IFERROR(VLOOKUP(B141,'traspo ñ alterar'!$J$2:$M$500,5,FALSE),"")</f>
        <v/>
      </c>
      <c r="C144" s="66"/>
      <c r="D144" s="66"/>
      <c r="E144" s="66"/>
      <c r="F144" s="66"/>
      <c r="G144" s="42"/>
      <c r="H144" s="42"/>
      <c r="I144" s="53"/>
      <c r="J144" s="16"/>
      <c r="K144" s="16"/>
      <c r="L144" s="16"/>
    </row>
    <row r="145" ht="15.75" customHeight="1">
      <c r="A145" s="25"/>
      <c r="B145" s="37" t="str">
        <f t="array" ref="B145:H145">DiasESemanas+DATE(AnoCalendário,5,1)-WEEKDAY(DATE(AnoCalendário,5,1),(InícioDaSemana="segunda-feira")+1)+8</f>
        <v>3</v>
      </c>
      <c r="C145" s="37">
        <v>46146.0</v>
      </c>
      <c r="D145" s="37">
        <v>46147.0</v>
      </c>
      <c r="E145" s="37">
        <v>46148.0</v>
      </c>
      <c r="F145" s="37">
        <v>46149.0</v>
      </c>
      <c r="G145" s="37">
        <v>46150.0</v>
      </c>
      <c r="H145" s="37">
        <v>46151.0</v>
      </c>
      <c r="I145" s="25"/>
      <c r="J145" s="16"/>
      <c r="K145" s="16"/>
      <c r="L145" s="16"/>
    </row>
    <row r="146" ht="15.75" customHeight="1">
      <c r="A146" s="25"/>
      <c r="B146" s="39" t="str">
        <f>IFERROR(VLOOKUP(B145,'traspo ñ alterar'!$J$2:$M$500,2,FALSE),"")</f>
        <v>Culto em Rio Brilhante</v>
      </c>
      <c r="C146" s="40" t="str">
        <f>IFERROR(VLOOKUP(C145,'traspo ñ alterar'!$J$2:$M$500,2,FALSE),"")</f>
        <v/>
      </c>
      <c r="D146" s="40" t="str">
        <f>IFERROR(VLOOKUP(D145,'traspo ñ alterar'!$J$2:$M$500,2,FALSE),"")</f>
        <v/>
      </c>
      <c r="E146" s="40" t="str">
        <f>IFERROR(VLOOKUP(E145,'traspo ñ alterar'!$J$2:$M$500,2,FALSE),"")</f>
        <v>Célula</v>
      </c>
      <c r="F146" s="40" t="str">
        <f>IFERROR(VLOOKUP(F145,'traspo ñ alterar'!$J$2:$M$500,2,FALSE),"")</f>
        <v/>
      </c>
      <c r="G146" s="40" t="str">
        <f>IFERROR(VLOOKUP(G145,'traspo ñ alterar'!$J$2:$M$500,2,FALSE),"")</f>
        <v>Vigília</v>
      </c>
      <c r="H146" s="40" t="str">
        <f>IFERROR(VLOOKUP(H145,'traspo ñ alterar'!$J$2:$M$500,2,FALSE),"")</f>
        <v>Relogio de oração</v>
      </c>
      <c r="I146" s="25"/>
      <c r="J146" s="16"/>
      <c r="K146" s="16"/>
      <c r="L146" s="16"/>
    </row>
    <row r="147" ht="15.75" customHeight="1">
      <c r="A147" s="25"/>
      <c r="B147" s="39" t="str">
        <f>IFERROR(VLOOKUP(B145,'traspo ñ alterar'!$J$2:$M$500,3,FALSE),"")</f>
        <v/>
      </c>
      <c r="C147" s="40" t="str">
        <f>IFERROR(VLOOKUP(C145,'traspo ñ alterar'!$J$2:$M$500,3,FALSE),"")</f>
        <v/>
      </c>
      <c r="D147" s="40" t="str">
        <f>IFERROR(VLOOKUP(D145,'traspo ñ alterar'!$J$2:$M$500,3,FALSE),"")</f>
        <v/>
      </c>
      <c r="E147" s="40" t="str">
        <f>IFERROR(VLOOKUP(E145,'traspo ñ alterar'!$J$2:$M$500,3,FALSE),"")</f>
        <v/>
      </c>
      <c r="F147" s="40" t="str">
        <f>IFERROR(VLOOKUP(F145,'traspo ñ alterar'!$J$2:$M$500,3,FALSE),"")</f>
        <v/>
      </c>
      <c r="G147" s="40" t="str">
        <f>IFERROR(VLOOKUP(G145,'traspo ñ alterar'!$J$2:$M$500,3,FALSE),"")</f>
        <v>Sexta cabeceira</v>
      </c>
      <c r="H147" s="40" t="str">
        <f>IFERROR(VLOOKUP(H145,'traspo ñ alterar'!$J$2:$M$500,3,FALSE),"")</f>
        <v/>
      </c>
      <c r="I147" s="25"/>
      <c r="J147" s="16"/>
      <c r="K147" s="16"/>
      <c r="L147" s="16"/>
    </row>
    <row r="148" ht="15.75" customHeight="1">
      <c r="A148" s="25"/>
      <c r="B148" s="39" t="str">
        <f>IFERROR(VLOOKUP(B145,'traspo ñ alterar'!$J$2:$M$500,4,FALSE),"")</f>
        <v/>
      </c>
      <c r="C148" s="40" t="str">
        <f>IFERROR(VLOOKUP(C145,'traspo ñ alterar'!$J$2:$M$500,4,FALSE),"")</f>
        <v/>
      </c>
      <c r="D148" s="40" t="str">
        <f>IFERROR(VLOOKUP(D145,'traspo ñ alterar'!$J$2:$M$500,4,FALSE),"")</f>
        <v/>
      </c>
      <c r="E148" s="40" t="str">
        <f>IFERROR(VLOOKUP(E145,'traspo ñ alterar'!$J$2:$M$500,4,FALSE),"")</f>
        <v/>
      </c>
      <c r="F148" s="40" t="str">
        <f>IFERROR(VLOOKUP(F145,'traspo ñ alterar'!$J$2:$M$500,4,FALSE),"")</f>
        <v/>
      </c>
      <c r="G148" s="40" t="str">
        <f>IFERROR(VLOOKUP(G145,'traspo ñ alterar'!$J$2:$M$500,4,FALSE),"")</f>
        <v/>
      </c>
      <c r="H148" s="40" t="str">
        <f>IFERROR(VLOOKUP(H145,'traspo ñ alterar'!$J$2:$M$500,4,FALSE),"")</f>
        <v/>
      </c>
      <c r="I148" s="25"/>
      <c r="J148" s="16"/>
      <c r="K148" s="16"/>
      <c r="L148" s="16"/>
    </row>
    <row r="149" ht="15.75" customHeight="1">
      <c r="A149" s="53"/>
      <c r="B149" s="41" t="str">
        <f>IFERROR(VLOOKUP(B146,'traspo ñ alterar'!$J$2:$M$500,5,FALSE),"")</f>
        <v/>
      </c>
      <c r="C149" s="42"/>
      <c r="D149" s="42"/>
      <c r="E149" s="42"/>
      <c r="F149" s="42"/>
      <c r="G149" s="42"/>
      <c r="H149" s="42"/>
      <c r="I149" s="53"/>
      <c r="J149" s="16"/>
      <c r="K149" s="16"/>
      <c r="L149" s="16"/>
    </row>
    <row r="150" ht="15.75" customHeight="1">
      <c r="A150" s="25"/>
      <c r="B150" s="37" t="str">
        <f t="array" ref="B150:H150">DiasESemanas+DATE(AnoCalendário,5,1)-WEEKDAY(DATE(AnoCalendário,5,1),(InícioDaSemana="segunda-feira")+1)+15</f>
        <v>10</v>
      </c>
      <c r="C150" s="37">
        <v>46153.0</v>
      </c>
      <c r="D150" s="37">
        <v>46154.0</v>
      </c>
      <c r="E150" s="37">
        <v>46155.0</v>
      </c>
      <c r="F150" s="37">
        <v>46156.0</v>
      </c>
      <c r="G150" s="37">
        <v>46157.0</v>
      </c>
      <c r="H150" s="37">
        <v>46158.0</v>
      </c>
      <c r="I150" s="25"/>
      <c r="J150" s="16"/>
      <c r="K150" s="16"/>
      <c r="L150" s="16"/>
    </row>
    <row r="151" ht="15.75" customHeight="1">
      <c r="A151" s="25"/>
      <c r="B151" s="39" t="str">
        <f>IFERROR(VLOOKUP(B150,'traspo ñ alterar'!$J$2:$M$500,2,FALSE),"")</f>
        <v>Culto especial dia das mães</v>
      </c>
      <c r="C151" s="40" t="str">
        <f>IFERROR(VLOOKUP(C150,'traspo ñ alterar'!$J$2:$M$500,2,FALSE),"")</f>
        <v/>
      </c>
      <c r="D151" s="40" t="str">
        <f>IFERROR(VLOOKUP(D150,'traspo ñ alterar'!$J$2:$M$500,2,FALSE),"")</f>
        <v/>
      </c>
      <c r="E151" s="40" t="str">
        <f>IFERROR(VLOOKUP(E150,'traspo ñ alterar'!$J$2:$M$500,2,FALSE),"")</f>
        <v>Célula</v>
      </c>
      <c r="F151" s="40" t="str">
        <f>IFERROR(VLOOKUP(F150,'traspo ñ alterar'!$J$2:$M$500,2,FALSE),"")</f>
        <v>Encontro Mensal de Mulheres</v>
      </c>
      <c r="G151" s="40" t="str">
        <f>IFERROR(VLOOKUP(G150,'traspo ñ alterar'!$J$2:$M$500,2,FALSE),"")</f>
        <v>Sexta cabeceira</v>
      </c>
      <c r="H151" s="40" t="str">
        <f>IFERROR(VLOOKUP(H150,'traspo ñ alterar'!$J$2:$M$500,2,FALSE),"")</f>
        <v>Inteensos</v>
      </c>
      <c r="I151" s="25"/>
      <c r="J151" s="16"/>
      <c r="K151" s="16"/>
      <c r="L151" s="16"/>
    </row>
    <row r="152" ht="15.75" customHeight="1">
      <c r="A152" s="25"/>
      <c r="B152" s="39" t="str">
        <f>IFERROR(VLOOKUP(B150,'traspo ñ alterar'!$J$2:$M$500,3,FALSE),"")</f>
        <v/>
      </c>
      <c r="C152" s="40" t="str">
        <f>IFERROR(VLOOKUP(C150,'traspo ñ alterar'!$J$2:$M$500,3,FALSE),"")</f>
        <v/>
      </c>
      <c r="D152" s="40" t="str">
        <f>IFERROR(VLOOKUP(D150,'traspo ñ alterar'!$J$2:$M$500,3,FALSE),"")</f>
        <v/>
      </c>
      <c r="E152" s="40" t="str">
        <f>IFERROR(VLOOKUP(E150,'traspo ñ alterar'!$J$2:$M$500,3,FALSE),"")</f>
        <v/>
      </c>
      <c r="F152" s="40" t="str">
        <f>IFERROR(VLOOKUP(F150,'traspo ñ alterar'!$J$2:$M$500,3,FALSE),"")</f>
        <v/>
      </c>
      <c r="G152" s="40" t="str">
        <f>IFERROR(VLOOKUP(G150,'traspo ñ alterar'!$J$2:$M$500,3,FALSE),"")</f>
        <v/>
      </c>
      <c r="H152" s="40" t="str">
        <f>IFERROR(VLOOKUP(H150,'traspo ñ alterar'!$J$2:$M$500,3,FALSE),"")</f>
        <v/>
      </c>
      <c r="I152" s="25"/>
      <c r="J152" s="16"/>
      <c r="K152" s="16"/>
      <c r="L152" s="16"/>
    </row>
    <row r="153" ht="15.75" customHeight="1">
      <c r="A153" s="25"/>
      <c r="B153" s="39" t="str">
        <f>IFERROR(VLOOKUP(B150,'traspo ñ alterar'!$J$2:$M$500,4,FALSE),"")</f>
        <v/>
      </c>
      <c r="C153" s="40" t="str">
        <f>IFERROR(VLOOKUP(C150,'traspo ñ alterar'!$J$2:$M$500,4,FALSE),"")</f>
        <v/>
      </c>
      <c r="D153" s="40" t="str">
        <f>IFERROR(VLOOKUP(D150,'traspo ñ alterar'!$J$2:$M$500,4,FALSE),"")</f>
        <v/>
      </c>
      <c r="E153" s="40" t="str">
        <f>IFERROR(VLOOKUP(E150,'traspo ñ alterar'!$J$2:$M$500,4,FALSE),"")</f>
        <v/>
      </c>
      <c r="F153" s="40" t="str">
        <f>IFERROR(VLOOKUP(F150,'traspo ñ alterar'!$J$2:$M$500,4,FALSE),"")</f>
        <v/>
      </c>
      <c r="G153" s="40" t="str">
        <f>IFERROR(VLOOKUP(G150,'traspo ñ alterar'!$J$2:$M$500,4,FALSE),"")</f>
        <v/>
      </c>
      <c r="H153" s="40" t="str">
        <f>IFERROR(VLOOKUP(H150,'traspo ñ alterar'!$J$2:$M$500,4,FALSE),"")</f>
        <v/>
      </c>
      <c r="I153" s="25"/>
      <c r="J153" s="16"/>
      <c r="K153" s="16"/>
      <c r="L153" s="16"/>
    </row>
    <row r="154" ht="15.75" customHeight="1">
      <c r="A154" s="53"/>
      <c r="B154" s="41" t="str">
        <f>IFERROR(VLOOKUP(B151,'traspo ñ alterar'!$J$2:$M$500,5,FALSE),"")</f>
        <v/>
      </c>
      <c r="C154" s="42"/>
      <c r="D154" s="42"/>
      <c r="E154" s="42"/>
      <c r="F154" s="42"/>
      <c r="G154" s="42"/>
      <c r="H154" s="42"/>
      <c r="I154" s="53"/>
      <c r="J154" s="16"/>
      <c r="K154" s="16"/>
      <c r="L154" s="16"/>
    </row>
    <row r="155" ht="15.75" customHeight="1">
      <c r="A155" s="25"/>
      <c r="B155" s="37" t="str">
        <f t="array" ref="B155:H155">DiasESemanas+DATE(AnoCalendário,5,1)-WEEKDAY(DATE(AnoCalendário,5,1),(InícioDaSemana="segunda-feira")+1)+22</f>
        <v>17</v>
      </c>
      <c r="C155" s="37">
        <v>46160.0</v>
      </c>
      <c r="D155" s="37">
        <v>46161.0</v>
      </c>
      <c r="E155" s="37">
        <v>46162.0</v>
      </c>
      <c r="F155" s="37">
        <v>46163.0</v>
      </c>
      <c r="G155" s="37">
        <v>46164.0</v>
      </c>
      <c r="H155" s="37">
        <v>46165.0</v>
      </c>
      <c r="I155" s="25"/>
      <c r="J155" s="16"/>
      <c r="K155" s="16"/>
      <c r="L155" s="16"/>
    </row>
    <row r="156" ht="15.75" customHeight="1">
      <c r="A156" s="25"/>
      <c r="B156" s="39" t="str">
        <f>IFERROR(VLOOKUP(B155,'traspo ñ alterar'!$J$2:$M$500,2,FALSE),"")</f>
        <v>1º Promoção</v>
      </c>
      <c r="C156" s="40" t="str">
        <f>IFERROR(VLOOKUP(C155,'traspo ñ alterar'!$J$2:$M$500,2,FALSE),"")</f>
        <v/>
      </c>
      <c r="D156" s="40" t="str">
        <f>IFERROR(VLOOKUP(D155,'traspo ñ alterar'!$J$2:$M$500,2,FALSE),"")</f>
        <v/>
      </c>
      <c r="E156" s="40" t="str">
        <f>IFERROR(VLOOKUP(E155,'traspo ñ alterar'!$J$2:$M$500,2,FALSE),"")</f>
        <v>Célula</v>
      </c>
      <c r="F156" s="40" t="str">
        <f>IFERROR(VLOOKUP(F155,'traspo ñ alterar'!$J$2:$M$500,2,FALSE),"")</f>
        <v>Culto de homens</v>
      </c>
      <c r="G156" s="40" t="str">
        <f>IFERROR(VLOOKUP(G155,'traspo ñ alterar'!$J$2:$M$500,2,FALSE),"")</f>
        <v>Sexta cabeceira</v>
      </c>
      <c r="H156" s="40" t="str">
        <f>IFERROR(VLOOKUP(H155,'traspo ñ alterar'!$J$2:$M$500,2,FALSE),"")</f>
        <v>Clamor 24 horas</v>
      </c>
      <c r="I156" s="25"/>
      <c r="J156" s="16"/>
      <c r="K156" s="16"/>
      <c r="L156" s="16"/>
    </row>
    <row r="157" ht="15.75" customHeight="1">
      <c r="A157" s="25"/>
      <c r="B157" s="39" t="str">
        <f>IFERROR(VLOOKUP(B155,'traspo ñ alterar'!$J$2:$M$500,3,FALSE),"")</f>
        <v>Cantina prol GE</v>
      </c>
      <c r="C157" s="40" t="str">
        <f>IFERROR(VLOOKUP(C155,'traspo ñ alterar'!$J$2:$M$500,3,FALSE),"")</f>
        <v/>
      </c>
      <c r="D157" s="40" t="str">
        <f>IFERROR(VLOOKUP(D155,'traspo ñ alterar'!$J$2:$M$500,3,FALSE),"")</f>
        <v/>
      </c>
      <c r="E157" s="40" t="str">
        <f>IFERROR(VLOOKUP(E155,'traspo ñ alterar'!$J$2:$M$500,3,FALSE),"")</f>
        <v/>
      </c>
      <c r="F157" s="40" t="str">
        <f>IFERROR(VLOOKUP(F155,'traspo ñ alterar'!$J$2:$M$500,3,FALSE),"")</f>
        <v/>
      </c>
      <c r="G157" s="40" t="str">
        <f>IFERROR(VLOOKUP(G155,'traspo ñ alterar'!$J$2:$M$500,3,FALSE),"")</f>
        <v/>
      </c>
      <c r="H157" s="40" t="str">
        <f>IFERROR(VLOOKUP(H155,'traspo ñ alterar'!$J$2:$M$500,3,FALSE),"")</f>
        <v/>
      </c>
      <c r="I157" s="25"/>
      <c r="J157" s="16"/>
      <c r="K157" s="16"/>
      <c r="L157" s="16"/>
    </row>
    <row r="158" ht="15.75" customHeight="1">
      <c r="A158" s="25"/>
      <c r="B158" s="39" t="str">
        <f>IFERROR(VLOOKUP(B155,'traspo ñ alterar'!$J$2:$M$500,4,FALSE),"")</f>
        <v/>
      </c>
      <c r="C158" s="40" t="str">
        <f>IFERROR(VLOOKUP(C155,'traspo ñ alterar'!$J$2:$M$500,4,FALSE),"")</f>
        <v/>
      </c>
      <c r="D158" s="40" t="str">
        <f>IFERROR(VLOOKUP(D155,'traspo ñ alterar'!$J$2:$M$500,4,FALSE),"")</f>
        <v/>
      </c>
      <c r="E158" s="40" t="str">
        <f>IFERROR(VLOOKUP(E155,'traspo ñ alterar'!$J$2:$M$500,4,FALSE),"")</f>
        <v/>
      </c>
      <c r="F158" s="40" t="str">
        <f>IFERROR(VLOOKUP(F155,'traspo ñ alterar'!$J$2:$M$500,4,FALSE),"")</f>
        <v/>
      </c>
      <c r="G158" s="40" t="str">
        <f>IFERROR(VLOOKUP(G155,'traspo ñ alterar'!$J$2:$M$500,4,FALSE),"")</f>
        <v/>
      </c>
      <c r="H158" s="40" t="str">
        <f>IFERROR(VLOOKUP(H155,'traspo ñ alterar'!$J$2:$M$500,4,FALSE),"")</f>
        <v/>
      </c>
      <c r="I158" s="25"/>
      <c r="J158" s="16"/>
      <c r="K158" s="16"/>
      <c r="L158" s="16"/>
    </row>
    <row r="159" ht="15.75" customHeight="1">
      <c r="A159" s="53"/>
      <c r="B159" s="41" t="str">
        <f>IFERROR(VLOOKUP(B156,'traspo ñ alterar'!$J$2:$M$500,5,FALSE),"")</f>
        <v/>
      </c>
      <c r="C159" s="42"/>
      <c r="D159" s="42"/>
      <c r="E159" s="42"/>
      <c r="F159" s="42"/>
      <c r="G159" s="42"/>
      <c r="H159" s="42"/>
      <c r="I159" s="53"/>
      <c r="J159" s="16"/>
      <c r="K159" s="16"/>
      <c r="L159" s="16"/>
    </row>
    <row r="160" ht="15.75" customHeight="1">
      <c r="A160" s="25"/>
      <c r="B160" s="37" t="str">
        <f t="array" ref="B160:H160">DiasESemanas+DATE(AnoCalendário,5,1)-WEEKDAY(DATE(AnoCalendário,5,1),(InícioDaSemana="segunda-feira")+1)+29</f>
        <v>24</v>
      </c>
      <c r="C160" s="37">
        <v>46167.0</v>
      </c>
      <c r="D160" s="37">
        <v>46168.0</v>
      </c>
      <c r="E160" s="37">
        <v>46169.0</v>
      </c>
      <c r="F160" s="37">
        <v>46170.0</v>
      </c>
      <c r="G160" s="37">
        <v>46171.0</v>
      </c>
      <c r="H160" s="37">
        <v>46172.0</v>
      </c>
      <c r="I160" s="25"/>
      <c r="J160" s="16"/>
      <c r="K160" s="16"/>
      <c r="L160" s="16"/>
    </row>
    <row r="161" ht="15.75" customHeight="1">
      <c r="A161" s="25"/>
      <c r="B161" s="39" t="str">
        <f>IFERROR(VLOOKUP(B160,'traspo ñ alterar'!$J$2:$M$500,2,FALSE),"")</f>
        <v>Clamor 24 horas</v>
      </c>
      <c r="C161" s="40" t="str">
        <f>IFERROR(VLOOKUP(C160,'traspo ñ alterar'!$J$2:$M$500,2,FALSE),"")</f>
        <v/>
      </c>
      <c r="D161" s="40" t="str">
        <f>IFERROR(VLOOKUP(D160,'traspo ñ alterar'!$J$2:$M$500,2,FALSE),"")</f>
        <v/>
      </c>
      <c r="E161" s="40" t="str">
        <f>IFERROR(VLOOKUP(E160,'traspo ñ alterar'!$J$2:$M$500,2,FALSE),"")</f>
        <v>Célula</v>
      </c>
      <c r="F161" s="40" t="str">
        <f>IFERROR(VLOOKUP(F160,'traspo ñ alterar'!$J$2:$M$500,2,FALSE),"")</f>
        <v/>
      </c>
      <c r="G161" s="40" t="str">
        <f>IFERROR(VLOOKUP(G160,'traspo ñ alterar'!$J$2:$M$500,2,FALSE),"")</f>
        <v>Veredas</v>
      </c>
      <c r="H161" s="40" t="str">
        <f>IFERROR(VLOOKUP(H160,'traspo ñ alterar'!$J$2:$M$500,2,FALSE),"")</f>
        <v>Veredas</v>
      </c>
      <c r="I161" s="25"/>
      <c r="J161" s="16"/>
      <c r="K161" s="16"/>
      <c r="L161" s="16"/>
    </row>
    <row r="162" ht="15.75" customHeight="1">
      <c r="A162" s="25"/>
      <c r="B162" s="39" t="str">
        <f>IFERROR(VLOOKUP(B160,'traspo ñ alterar'!$J$2:$M$500,3,FALSE),"")</f>
        <v>Culto missionário</v>
      </c>
      <c r="C162" s="40" t="str">
        <f>IFERROR(VLOOKUP(C160,'traspo ñ alterar'!$J$2:$M$500,3,FALSE),"")</f>
        <v/>
      </c>
      <c r="D162" s="40" t="str">
        <f>IFERROR(VLOOKUP(D160,'traspo ñ alterar'!$J$2:$M$500,3,FALSE),"")</f>
        <v/>
      </c>
      <c r="E162" s="40" t="str">
        <f>IFERROR(VLOOKUP(E160,'traspo ñ alterar'!$J$2:$M$500,3,FALSE),"")</f>
        <v/>
      </c>
      <c r="F162" s="40" t="str">
        <f>IFERROR(VLOOKUP(F160,'traspo ñ alterar'!$J$2:$M$500,3,FALSE),"")</f>
        <v/>
      </c>
      <c r="G162" s="40" t="str">
        <f>IFERROR(VLOOKUP(G160,'traspo ñ alterar'!$J$2:$M$500,3,FALSE),"")</f>
        <v/>
      </c>
      <c r="H162" s="40" t="str">
        <f>IFERROR(VLOOKUP(H160,'traspo ñ alterar'!$J$2:$M$500,3,FALSE),"")</f>
        <v/>
      </c>
      <c r="I162" s="25"/>
      <c r="J162" s="16"/>
      <c r="K162" s="16"/>
      <c r="L162" s="16"/>
    </row>
    <row r="163" ht="15.75" customHeight="1">
      <c r="A163" s="25"/>
      <c r="B163" s="39" t="str">
        <f>IFERROR(VLOOKUP(B160,'traspo ñ alterar'!$J$2:$M$500,4,FALSE),"")</f>
        <v/>
      </c>
      <c r="C163" s="40" t="str">
        <f>IFERROR(VLOOKUP(C160,'traspo ñ alterar'!$J$2:$M$500,4,FALSE),"")</f>
        <v/>
      </c>
      <c r="D163" s="40" t="str">
        <f>IFERROR(VLOOKUP(D160,'traspo ñ alterar'!$J$2:$M$500,4,FALSE),"")</f>
        <v/>
      </c>
      <c r="E163" s="40" t="str">
        <f>IFERROR(VLOOKUP(E160,'traspo ñ alterar'!$J$2:$M$500,4,FALSE),"")</f>
        <v/>
      </c>
      <c r="F163" s="40" t="str">
        <f>IFERROR(VLOOKUP(F160,'traspo ñ alterar'!$J$2:$M$500,4,FALSE),"")</f>
        <v/>
      </c>
      <c r="G163" s="40" t="str">
        <f>IFERROR(VLOOKUP(G160,'traspo ñ alterar'!$J$2:$M$500,4,FALSE),"")</f>
        <v/>
      </c>
      <c r="H163" s="40" t="str">
        <f>IFERROR(VLOOKUP(H160,'traspo ñ alterar'!$J$2:$M$500,4,FALSE),"")</f>
        <v/>
      </c>
      <c r="I163" s="25"/>
      <c r="J163" s="16"/>
      <c r="K163" s="16"/>
      <c r="L163" s="16"/>
    </row>
    <row r="164" ht="15.75" customHeight="1">
      <c r="A164" s="53"/>
      <c r="B164" s="41" t="str">
        <f>IFERROR(VLOOKUP(B161,'traspo ñ alterar'!$J$2:$M$500,5,FALSE),"")</f>
        <v/>
      </c>
      <c r="C164" s="42"/>
      <c r="D164" s="42"/>
      <c r="E164" s="42"/>
      <c r="F164" s="42"/>
      <c r="G164" s="42"/>
      <c r="H164" s="42"/>
      <c r="I164" s="53"/>
      <c r="J164" s="16"/>
      <c r="K164" s="16"/>
      <c r="L164" s="16"/>
    </row>
    <row r="165" ht="15.75" customHeight="1">
      <c r="A165" s="25"/>
      <c r="B165" s="37" t="str">
        <f t="array" ref="B165:C165">DiasESemanas+DATE(AnoCalendário,5,1)-WEEKDAY(DATE(AnoCalendário,5,1),(InícioDaSemana="segunda-feira")+1)+36</f>
        <v>31</v>
      </c>
      <c r="C165" s="37">
        <v>46174.0</v>
      </c>
      <c r="D165" s="50" t="s">
        <v>133</v>
      </c>
      <c r="H165" s="63"/>
      <c r="I165" s="25"/>
      <c r="J165" s="16"/>
      <c r="K165" s="16"/>
      <c r="L165" s="16"/>
    </row>
    <row r="166" ht="15.75" customHeight="1">
      <c r="A166" s="25"/>
      <c r="B166" s="39" t="str">
        <f>IFERROR(VLOOKUP(B165,'traspo ñ alterar'!$J$2:$M$500,2,FALSE),"")</f>
        <v>Culto especial células</v>
      </c>
      <c r="C166" s="49" t="str">
        <f>IFERROR(VLOOKUP(C165,'traspo ñ alterar'!$J$2:$M$500,2,FALSE),"")</f>
        <v/>
      </c>
      <c r="D166" s="50"/>
      <c r="E166" s="51"/>
      <c r="F166" s="51"/>
      <c r="G166" s="51"/>
      <c r="H166" s="52"/>
      <c r="I166" s="25"/>
      <c r="J166" s="16"/>
      <c r="K166" s="16"/>
      <c r="L166" s="16"/>
    </row>
    <row r="167" ht="15.75" customHeight="1">
      <c r="A167" s="25"/>
      <c r="B167" s="39" t="str">
        <f>IFERROR(VLOOKUP(B165,'traspo ñ alterar'!$J$2:$M$500,3,FALSE),"")</f>
        <v/>
      </c>
      <c r="C167" s="49" t="str">
        <f>IFERROR(VLOOKUP(C165,'traspo ñ alterar'!$J$2:$M$500,3,FALSE),"")</f>
        <v/>
      </c>
      <c r="D167" s="50"/>
      <c r="E167" s="51"/>
      <c r="F167" s="51"/>
      <c r="G167" s="51"/>
      <c r="H167" s="52"/>
      <c r="I167" s="25"/>
      <c r="J167" s="16"/>
      <c r="K167" s="16"/>
      <c r="L167" s="16"/>
    </row>
    <row r="168" ht="15.75" customHeight="1">
      <c r="A168" s="25"/>
      <c r="B168" s="39" t="str">
        <f>IFERROR(VLOOKUP(B165,'traspo ñ alterar'!$J$2:$M$500,4,FALSE),"")</f>
        <v/>
      </c>
      <c r="C168" s="49" t="str">
        <f>IFERROR(VLOOKUP(C165,'traspo ñ alterar'!$J$2:$M$500,4,FALSE),"")</f>
        <v/>
      </c>
      <c r="D168" s="50"/>
      <c r="E168" s="51"/>
      <c r="F168" s="51"/>
      <c r="G168" s="51"/>
      <c r="H168" s="52"/>
      <c r="I168" s="25"/>
      <c r="J168" s="16"/>
      <c r="K168" s="16"/>
      <c r="L168" s="16"/>
    </row>
    <row r="169" ht="15.75" customHeight="1">
      <c r="A169" s="53"/>
      <c r="B169" s="56" t="str">
        <f>IFERROR(VLOOKUP(B166,'traspo ñ alterar'!$J$2:$M$500,5,FALSE),"")</f>
        <v/>
      </c>
      <c r="C169" s="55"/>
      <c r="D169" s="56"/>
      <c r="E169" s="57"/>
      <c r="F169" s="57"/>
      <c r="G169" s="57"/>
      <c r="H169" s="58"/>
      <c r="I169" s="53"/>
      <c r="J169" s="16"/>
      <c r="K169" s="16"/>
      <c r="L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 t="s">
        <v>128</v>
      </c>
      <c r="J171" s="16"/>
      <c r="K171" s="16"/>
      <c r="L171" s="16"/>
    </row>
    <row r="172" ht="15.75" customHeight="1">
      <c r="A172" s="16"/>
      <c r="B172" s="17" t="str">
        <f>"Junho "&amp;AnoCalendário</f>
        <v>Junho 2026</v>
      </c>
      <c r="E172" s="18"/>
      <c r="F172" s="18"/>
      <c r="G172" s="18"/>
      <c r="H172" s="19"/>
      <c r="I172" s="16"/>
      <c r="J172" s="16"/>
      <c r="K172" s="16"/>
      <c r="L172" s="16"/>
    </row>
    <row r="173" ht="15.75" customHeight="1">
      <c r="A173" s="20"/>
      <c r="B173" s="22" t="str">
        <f>InícioDaSemana</f>
        <v>domingo</v>
      </c>
      <c r="C173" s="22" t="str">
        <f t="shared" ref="C173:H173" si="6">TEXT(C174,"dddd")</f>
        <v>Monday</v>
      </c>
      <c r="D173" s="22" t="str">
        <f t="shared" si="6"/>
        <v>Tuesday</v>
      </c>
      <c r="E173" s="22" t="str">
        <f t="shared" si="6"/>
        <v>Wednesday</v>
      </c>
      <c r="F173" s="22" t="str">
        <f t="shared" si="6"/>
        <v>Thursday</v>
      </c>
      <c r="G173" s="22" t="str">
        <f t="shared" si="6"/>
        <v>Friday</v>
      </c>
      <c r="H173" s="22" t="str">
        <f t="shared" si="6"/>
        <v>Saturday</v>
      </c>
      <c r="I173" s="20"/>
      <c r="J173" s="16"/>
      <c r="K173" s="16"/>
      <c r="L173" s="16"/>
    </row>
    <row r="174" ht="15.75" customHeight="1">
      <c r="A174" s="25"/>
      <c r="B174" s="27" t="str">
        <f t="array" ref="B174:H174">DiasESemanas+DATE(AnoCalendário,6,1)-WEEKDAY(DATE(AnoCalendário,6,1),(InícioDaSemana="segunda-feira")+1)+1</f>
        <v>31</v>
      </c>
      <c r="C174" s="27">
        <v>46174.0</v>
      </c>
      <c r="D174" s="27">
        <v>46175.0</v>
      </c>
      <c r="E174" s="27">
        <v>46176.0</v>
      </c>
      <c r="F174" s="27">
        <v>46177.0</v>
      </c>
      <c r="G174" s="27">
        <v>46178.0</v>
      </c>
      <c r="H174" s="27">
        <v>46179.0</v>
      </c>
      <c r="I174" s="25"/>
      <c r="J174" s="16"/>
      <c r="K174" s="16"/>
      <c r="L174" s="16"/>
    </row>
    <row r="175" ht="15.75" customHeight="1">
      <c r="A175" s="25"/>
      <c r="B175" s="48" t="str">
        <f>IFERROR(VLOOKUP(B174,'traspo ñ alterar'!$J$2:$M$500,2,FALSE),"")</f>
        <v>Culto especial células</v>
      </c>
      <c r="C175" s="40" t="str">
        <f>IFERROR(VLOOKUP(C174,'traspo ñ alterar'!$J$2:$M$500,2,FALSE),"")</f>
        <v/>
      </c>
      <c r="D175" s="40" t="str">
        <f>IFERROR(VLOOKUP(D174,'traspo ñ alterar'!$J$2:$M$500,2,FALSE),"")</f>
        <v/>
      </c>
      <c r="E175" s="40" t="str">
        <f>IFERROR(VLOOKUP(E174,'traspo ñ alterar'!$J$2:$M$500,2,FALSE),"")</f>
        <v>Célula</v>
      </c>
      <c r="F175" s="40" t="str">
        <f>IFERROR(VLOOKUP(F174,'traspo ñ alterar'!$J$2:$M$500,2,FALSE),"")</f>
        <v/>
      </c>
      <c r="G175" s="40" t="str">
        <f>IFERROR(VLOOKUP(G174,'traspo ñ alterar'!$J$2:$M$500,2,FALSE),"")</f>
        <v>Vigília</v>
      </c>
      <c r="H175" s="40" t="str">
        <f>IFERROR(VLOOKUP(H174,'traspo ñ alterar'!$J$2:$M$500,2,FALSE),"")</f>
        <v/>
      </c>
      <c r="I175" s="25"/>
      <c r="J175" s="16"/>
      <c r="K175" s="16"/>
      <c r="L175" s="16"/>
    </row>
    <row r="176" ht="15.75" customHeight="1">
      <c r="A176" s="25"/>
      <c r="B176" s="48" t="str">
        <f>IFERROR(VLOOKUP(B174,'traspo ñ alterar'!$J$2:$M$500,3,FALSE),"")</f>
        <v/>
      </c>
      <c r="C176" s="40" t="str">
        <f>IFERROR(VLOOKUP(C174,'traspo ñ alterar'!$J$2:$M$500,3,FALSE),"")</f>
        <v/>
      </c>
      <c r="D176" s="40" t="str">
        <f>IFERROR(VLOOKUP(D174,'traspo ñ alterar'!$J$2:$M$500,3,FALSE),"")</f>
        <v/>
      </c>
      <c r="E176" s="40" t="str">
        <f>IFERROR(VLOOKUP(E174,'traspo ñ alterar'!$J$2:$M$500,3,FALSE),"")</f>
        <v/>
      </c>
      <c r="F176" s="40" t="str">
        <f>IFERROR(VLOOKUP(F174,'traspo ñ alterar'!$J$2:$M$500,3,FALSE),"")</f>
        <v/>
      </c>
      <c r="G176" s="40" t="str">
        <f>IFERROR(VLOOKUP(G174,'traspo ñ alterar'!$J$2:$M$500,3,FALSE),"")</f>
        <v/>
      </c>
      <c r="H176" s="40" t="str">
        <f>IFERROR(VLOOKUP(H174,'traspo ñ alterar'!$J$2:$M$500,3,FALSE),"")</f>
        <v/>
      </c>
      <c r="I176" s="25"/>
      <c r="J176" s="16"/>
      <c r="K176" s="16"/>
      <c r="L176" s="16"/>
    </row>
    <row r="177" ht="15.75" customHeight="1">
      <c r="A177" s="25"/>
      <c r="B177" s="48" t="str">
        <f>IFERROR(VLOOKUP(B174,'traspo ñ alterar'!$J$2:$M$500,4,FALSE),"")</f>
        <v/>
      </c>
      <c r="C177" s="40" t="str">
        <f>IFERROR(VLOOKUP(C174,'traspo ñ alterar'!$J$2:$M$500,4,FALSE),"")</f>
        <v/>
      </c>
      <c r="D177" s="40" t="str">
        <f>IFERROR(VLOOKUP(D174,'traspo ñ alterar'!$J$2:$M$500,4,FALSE),"")</f>
        <v/>
      </c>
      <c r="E177" s="40" t="str">
        <f>IFERROR(VLOOKUP(E174,'traspo ñ alterar'!$J$2:$M$500,4,FALSE),"")</f>
        <v/>
      </c>
      <c r="F177" s="40" t="str">
        <f>IFERROR(VLOOKUP(F174,'traspo ñ alterar'!$J$2:$M$500,4,FALSE),"")</f>
        <v/>
      </c>
      <c r="G177" s="40" t="str">
        <f>IFERROR(VLOOKUP(G174,'traspo ñ alterar'!$J$2:$M$500,4,FALSE),"")</f>
        <v/>
      </c>
      <c r="H177" s="40" t="str">
        <f>IFERROR(VLOOKUP(H174,'traspo ñ alterar'!$J$2:$M$500,4,FALSE),"")</f>
        <v/>
      </c>
      <c r="I177" s="25"/>
      <c r="J177" s="16"/>
      <c r="K177" s="16"/>
      <c r="L177" s="16"/>
    </row>
    <row r="178" ht="15.75" customHeight="1">
      <c r="A178" s="53"/>
      <c r="B178" s="69" t="str">
        <f>IFERROR(VLOOKUP(B175,'traspo ñ alterar'!$J$2:$M$500,5,FALSE),"")</f>
        <v/>
      </c>
      <c r="C178" s="42"/>
      <c r="D178" s="42"/>
      <c r="E178" s="42"/>
      <c r="F178" s="42"/>
      <c r="G178" s="42"/>
      <c r="H178" s="42"/>
      <c r="I178" s="53"/>
      <c r="J178" s="16"/>
      <c r="K178" s="16"/>
      <c r="L178" s="16"/>
    </row>
    <row r="179" ht="15.75" customHeight="1">
      <c r="A179" s="25"/>
      <c r="B179" s="37" t="str">
        <f t="array" ref="B179:H179">DiasESemanas+DATE(AnoCalendário,6,1)-WEEKDAY(DATE(AnoCalendário,6,1),(InícioDaSemana="segunda-feira")+1)+8</f>
        <v>7</v>
      </c>
      <c r="C179" s="37">
        <v>46181.0</v>
      </c>
      <c r="D179" s="37">
        <v>46182.0</v>
      </c>
      <c r="E179" s="37">
        <v>46183.0</v>
      </c>
      <c r="F179" s="37">
        <v>46184.0</v>
      </c>
      <c r="G179" s="37">
        <v>46185.0</v>
      </c>
      <c r="H179" s="37">
        <v>46186.0</v>
      </c>
      <c r="I179" s="25"/>
      <c r="J179" s="16"/>
      <c r="K179" s="16"/>
      <c r="L179" s="16"/>
    </row>
    <row r="180" ht="15.75" customHeight="1">
      <c r="A180" s="25"/>
      <c r="B180" s="39" t="str">
        <f>IFERROR(VLOOKUP(B179,'traspo ñ alterar'!$J$2:$M$500,2,FALSE),"")</f>
        <v/>
      </c>
      <c r="C180" s="40" t="str">
        <f>IFERROR(VLOOKUP(C179,'traspo ñ alterar'!$J$2:$M$500,2,FALSE),"")</f>
        <v/>
      </c>
      <c r="D180" s="40" t="str">
        <f>IFERROR(VLOOKUP(D179,'traspo ñ alterar'!$J$2:$M$500,2,FALSE),"")</f>
        <v/>
      </c>
      <c r="E180" s="40" t="str">
        <f>IFERROR(VLOOKUP(E179,'traspo ñ alterar'!$J$2:$M$500,2,FALSE),"")</f>
        <v>Célula</v>
      </c>
      <c r="F180" s="40" t="str">
        <f>IFERROR(VLOOKUP(F179,'traspo ñ alterar'!$J$2:$M$500,2,FALSE),"")</f>
        <v/>
      </c>
      <c r="G180" s="40" t="str">
        <f>IFERROR(VLOOKUP(G179,'traspo ñ alterar'!$J$2:$M$500,2,FALSE),"")</f>
        <v>Sexta cabeceira</v>
      </c>
      <c r="H180" s="40" t="str">
        <f>IFERROR(VLOOKUP(H179,'traspo ñ alterar'!$J$2:$M$500,2,FALSE),"")</f>
        <v>Jantar in love</v>
      </c>
      <c r="I180" s="25"/>
      <c r="J180" s="16"/>
      <c r="K180" s="16"/>
      <c r="L180" s="16"/>
    </row>
    <row r="181" ht="15.75" customHeight="1">
      <c r="A181" s="25"/>
      <c r="B181" s="39" t="str">
        <f>IFERROR(VLOOKUP(B179,'traspo ñ alterar'!$J$2:$M$500,3,FALSE),"")</f>
        <v/>
      </c>
      <c r="C181" s="40" t="str">
        <f>IFERROR(VLOOKUP(C179,'traspo ñ alterar'!$J$2:$M$500,3,FALSE),"")</f>
        <v/>
      </c>
      <c r="D181" s="40" t="str">
        <f>IFERROR(VLOOKUP(D179,'traspo ñ alterar'!$J$2:$M$500,3,FALSE),"")</f>
        <v/>
      </c>
      <c r="E181" s="40" t="str">
        <f>IFERROR(VLOOKUP(E179,'traspo ñ alterar'!$J$2:$M$500,3,FALSE),"")</f>
        <v/>
      </c>
      <c r="F181" s="40" t="str">
        <f>IFERROR(VLOOKUP(F179,'traspo ñ alterar'!$J$2:$M$500,3,FALSE),"")</f>
        <v/>
      </c>
      <c r="G181" s="40" t="str">
        <f>IFERROR(VLOOKUP(G179,'traspo ñ alterar'!$J$2:$M$500,3,FALSE),"")</f>
        <v/>
      </c>
      <c r="H181" s="40" t="str">
        <f>IFERROR(VLOOKUP(H179,'traspo ñ alterar'!$J$2:$M$500,3,FALSE),"")</f>
        <v>Relogio de oração</v>
      </c>
      <c r="I181" s="25"/>
      <c r="J181" s="16"/>
      <c r="K181" s="16"/>
      <c r="L181" s="16"/>
    </row>
    <row r="182" ht="15.75" customHeight="1">
      <c r="A182" s="25"/>
      <c r="B182" s="39" t="str">
        <f>IFERROR(VLOOKUP(B179,'traspo ñ alterar'!$J$2:$M$500,4,FALSE),"")</f>
        <v/>
      </c>
      <c r="C182" s="40" t="str">
        <f>IFERROR(VLOOKUP(C179,'traspo ñ alterar'!$J$2:$M$500,4,FALSE),"")</f>
        <v/>
      </c>
      <c r="D182" s="40" t="str">
        <f>IFERROR(VLOOKUP(D179,'traspo ñ alterar'!$J$2:$M$500,4,FALSE),"")</f>
        <v/>
      </c>
      <c r="E182" s="40" t="str">
        <f>IFERROR(VLOOKUP(E179,'traspo ñ alterar'!$J$2:$M$500,4,FALSE),"")</f>
        <v/>
      </c>
      <c r="F182" s="40" t="str">
        <f>IFERROR(VLOOKUP(F179,'traspo ñ alterar'!$J$2:$M$500,4,FALSE),"")</f>
        <v/>
      </c>
      <c r="G182" s="40" t="str">
        <f>IFERROR(VLOOKUP(G179,'traspo ñ alterar'!$J$2:$M$500,4,FALSE),"")</f>
        <v/>
      </c>
      <c r="H182" s="40" t="str">
        <f>IFERROR(VLOOKUP(H179,'traspo ñ alterar'!$J$2:$M$500,4,FALSE),"")</f>
        <v/>
      </c>
      <c r="I182" s="25"/>
      <c r="J182" s="16"/>
      <c r="K182" s="16"/>
      <c r="L182" s="16"/>
    </row>
    <row r="183" ht="15.75" customHeight="1">
      <c r="A183" s="53"/>
      <c r="B183" s="41" t="str">
        <f>IFERROR(VLOOKUP(B180,'traspo ñ alterar'!$J$2:$M$500,5,FALSE),"")</f>
        <v/>
      </c>
      <c r="C183" s="42"/>
      <c r="D183" s="42"/>
      <c r="E183" s="42"/>
      <c r="F183" s="42"/>
      <c r="G183" s="42"/>
      <c r="H183" s="42"/>
      <c r="I183" s="53"/>
      <c r="J183" s="16"/>
      <c r="K183" s="16"/>
      <c r="L183" s="16"/>
    </row>
    <row r="184" ht="15.75" customHeight="1">
      <c r="A184" s="25"/>
      <c r="B184" s="37" t="str">
        <f t="array" ref="B184:H184">DiasESemanas+DATE(AnoCalendário,6,1)-WEEKDAY(DATE(AnoCalendário,6,1),(InícioDaSemana="segunda-feira")+1)+15</f>
        <v>14</v>
      </c>
      <c r="C184" s="37">
        <v>46188.0</v>
      </c>
      <c r="D184" s="37">
        <v>46189.0</v>
      </c>
      <c r="E184" s="37">
        <v>46190.0</v>
      </c>
      <c r="F184" s="37">
        <v>46191.0</v>
      </c>
      <c r="G184" s="37">
        <v>46192.0</v>
      </c>
      <c r="H184" s="37">
        <v>46193.0</v>
      </c>
      <c r="I184" s="25"/>
      <c r="J184" s="16"/>
      <c r="K184" s="16"/>
      <c r="L184" s="16"/>
    </row>
    <row r="185" ht="15.75" customHeight="1">
      <c r="A185" s="25"/>
      <c r="B185" s="39" t="str">
        <f>IFERROR(VLOOKUP(B184,'traspo ñ alterar'!$J$2:$M$500,2,FALSE),"")</f>
        <v>Cantina prol GE</v>
      </c>
      <c r="C185" s="40" t="str">
        <f>IFERROR(VLOOKUP(C184,'traspo ñ alterar'!$J$2:$M$500,2,FALSE),"")</f>
        <v/>
      </c>
      <c r="D185" s="40" t="str">
        <f>IFERROR(VLOOKUP(D184,'traspo ñ alterar'!$J$2:$M$500,2,FALSE),"")</f>
        <v/>
      </c>
      <c r="E185" s="40" t="str">
        <f>IFERROR(VLOOKUP(E184,'traspo ñ alterar'!$J$2:$M$500,2,FALSE),"")</f>
        <v>Célula</v>
      </c>
      <c r="F185" s="40" t="str">
        <f>IFERROR(VLOOKUP(F184,'traspo ñ alterar'!$J$2:$M$500,2,FALSE),"")</f>
        <v>Culto de homens</v>
      </c>
      <c r="G185" s="40" t="str">
        <f>IFERROR(VLOOKUP(G184,'traspo ñ alterar'!$J$2:$M$500,2,FALSE),"")</f>
        <v>Sexta cabeceira</v>
      </c>
      <c r="H185" s="40" t="str">
        <f>IFERROR(VLOOKUP(H184,'traspo ñ alterar'!$J$2:$M$500,2,FALSE),"")</f>
        <v>Inteensos</v>
      </c>
      <c r="I185" s="25"/>
      <c r="J185" s="16"/>
      <c r="K185" s="16"/>
      <c r="L185" s="16"/>
    </row>
    <row r="186" ht="15.75" customHeight="1">
      <c r="A186" s="25"/>
      <c r="B186" s="39" t="str">
        <f>IFERROR(VLOOKUP(B184,'traspo ñ alterar'!$J$2:$M$500,3,FALSE),"")</f>
        <v/>
      </c>
      <c r="C186" s="40" t="str">
        <f>IFERROR(VLOOKUP(C184,'traspo ñ alterar'!$J$2:$M$500,3,FALSE),"")</f>
        <v/>
      </c>
      <c r="D186" s="40" t="str">
        <f>IFERROR(VLOOKUP(D184,'traspo ñ alterar'!$J$2:$M$500,3,FALSE),"")</f>
        <v/>
      </c>
      <c r="E186" s="40" t="str">
        <f>IFERROR(VLOOKUP(E184,'traspo ñ alterar'!$J$2:$M$500,3,FALSE),"")</f>
        <v/>
      </c>
      <c r="F186" s="40" t="str">
        <f>IFERROR(VLOOKUP(F184,'traspo ñ alterar'!$J$2:$M$500,3,FALSE),"")</f>
        <v/>
      </c>
      <c r="G186" s="40" t="str">
        <f>IFERROR(VLOOKUP(G184,'traspo ñ alterar'!$J$2:$M$500,3,FALSE),"")</f>
        <v/>
      </c>
      <c r="H186" s="40" t="str">
        <f>IFERROR(VLOOKUP(H184,'traspo ñ alterar'!$J$2:$M$500,3,FALSE),"")</f>
        <v/>
      </c>
      <c r="I186" s="25"/>
      <c r="J186" s="16"/>
      <c r="K186" s="16"/>
      <c r="L186" s="16"/>
    </row>
    <row r="187" ht="15.75" customHeight="1">
      <c r="A187" s="25"/>
      <c r="B187" s="39" t="str">
        <f>IFERROR(VLOOKUP(B184,'traspo ñ alterar'!$J$2:$M$500,4,FALSE),"")</f>
        <v/>
      </c>
      <c r="C187" s="40" t="str">
        <f>IFERROR(VLOOKUP(C184,'traspo ñ alterar'!$J$2:$M$500,4,FALSE),"")</f>
        <v/>
      </c>
      <c r="D187" s="40" t="str">
        <f>IFERROR(VLOOKUP(D184,'traspo ñ alterar'!$J$2:$M$500,4,FALSE),"")</f>
        <v/>
      </c>
      <c r="E187" s="40" t="str">
        <f>IFERROR(VLOOKUP(E184,'traspo ñ alterar'!$J$2:$M$500,4,FALSE),"")</f>
        <v/>
      </c>
      <c r="F187" s="40" t="str">
        <f>IFERROR(VLOOKUP(F184,'traspo ñ alterar'!$J$2:$M$500,4,FALSE),"")</f>
        <v/>
      </c>
      <c r="G187" s="40" t="str">
        <f>IFERROR(VLOOKUP(G184,'traspo ñ alterar'!$J$2:$M$500,4,FALSE),"")</f>
        <v/>
      </c>
      <c r="H187" s="40" t="str">
        <f>IFERROR(VLOOKUP(H184,'traspo ñ alterar'!$J$2:$M$500,4,FALSE),"")</f>
        <v/>
      </c>
      <c r="I187" s="25"/>
      <c r="J187" s="16"/>
      <c r="K187" s="16"/>
      <c r="L187" s="16"/>
    </row>
    <row r="188" ht="15.75" customHeight="1">
      <c r="A188" s="53"/>
      <c r="B188" s="41" t="str">
        <f>IFERROR(VLOOKUP(B185,'traspo ñ alterar'!$J$2:$M$500,5,FALSE),"")</f>
        <v/>
      </c>
      <c r="C188" s="42"/>
      <c r="D188" s="42"/>
      <c r="E188" s="42"/>
      <c r="F188" s="42"/>
      <c r="G188" s="42"/>
      <c r="H188" s="42"/>
      <c r="I188" s="53"/>
      <c r="J188" s="16"/>
      <c r="K188" s="16"/>
      <c r="L188" s="16"/>
    </row>
    <row r="189" ht="15.75" customHeight="1">
      <c r="A189" s="25"/>
      <c r="B189" s="37" t="str">
        <f t="array" ref="B189:H189">DiasESemanas+DATE(AnoCalendário,6,1)-WEEKDAY(DATE(AnoCalendário,6,1),(InícioDaSemana="segunda-feira")+1)+22</f>
        <v>21</v>
      </c>
      <c r="C189" s="37">
        <v>46195.0</v>
      </c>
      <c r="D189" s="37">
        <v>46196.0</v>
      </c>
      <c r="E189" s="37">
        <v>46197.0</v>
      </c>
      <c r="F189" s="37">
        <v>46198.0</v>
      </c>
      <c r="G189" s="37">
        <v>46199.0</v>
      </c>
      <c r="H189" s="37">
        <v>46200.0</v>
      </c>
      <c r="I189" s="25"/>
      <c r="J189" s="16"/>
      <c r="K189" s="16"/>
      <c r="L189" s="16"/>
    </row>
    <row r="190" ht="15.75" customHeight="1">
      <c r="A190" s="25"/>
      <c r="B190" s="39" t="str">
        <f>IFERROR(VLOOKUP(B189,'traspo ñ alterar'!$J$2:$M$500,2,FALSE),"")</f>
        <v>Culto em Rio Brilhante</v>
      </c>
      <c r="C190" s="40" t="str">
        <f>IFERROR(VLOOKUP(C189,'traspo ñ alterar'!$J$2:$M$500,2,FALSE),"")</f>
        <v>Clamor on line</v>
      </c>
      <c r="D190" s="40" t="str">
        <f>IFERROR(VLOOKUP(D189,'traspo ñ alterar'!$J$2:$M$500,2,FALSE),"")</f>
        <v>Clamor on line</v>
      </c>
      <c r="E190" s="40" t="str">
        <f>IFERROR(VLOOKUP(E189,'traspo ñ alterar'!$J$2:$M$500,2,FALSE),"")</f>
        <v>Célula</v>
      </c>
      <c r="F190" s="40" t="str">
        <f>IFERROR(VLOOKUP(F189,'traspo ñ alterar'!$J$2:$M$500,2,FALSE),"")</f>
        <v>Clamor on line</v>
      </c>
      <c r="G190" s="40" t="str">
        <f>IFERROR(VLOOKUP(G189,'traspo ñ alterar'!$J$2:$M$500,2,FALSE),"")</f>
        <v>Sexta cabeceira</v>
      </c>
      <c r="H190" s="40" t="str">
        <f>IFERROR(VLOOKUP(H189,'traspo ñ alterar'!$J$2:$M$500,2,FALSE),"")</f>
        <v>Conferência de Louvor - 19h</v>
      </c>
      <c r="I190" s="25"/>
      <c r="J190" s="16"/>
      <c r="K190" s="16"/>
      <c r="L190" s="16"/>
    </row>
    <row r="191" ht="15.75" customHeight="1">
      <c r="A191" s="25"/>
      <c r="B191" s="39" t="str">
        <f>IFERROR(VLOOKUP(B189,'traspo ñ alterar'!$J$2:$M$500,3,FALSE),"")</f>
        <v>Culto missionário - células</v>
      </c>
      <c r="C191" s="40" t="str">
        <f>IFERROR(VLOOKUP(C189,'traspo ñ alterar'!$J$2:$M$500,3,FALSE),"")</f>
        <v/>
      </c>
      <c r="D191" s="40" t="str">
        <f>IFERROR(VLOOKUP(D189,'traspo ñ alterar'!$J$2:$M$500,3,FALSE),"")</f>
        <v/>
      </c>
      <c r="E191" s="40" t="str">
        <f>IFERROR(VLOOKUP(E189,'traspo ñ alterar'!$J$2:$M$500,3,FALSE),"")</f>
        <v>Clamor on line</v>
      </c>
      <c r="F191" s="40" t="str">
        <f>IFERROR(VLOOKUP(F189,'traspo ñ alterar'!$J$2:$M$500,3,FALSE),"")</f>
        <v/>
      </c>
      <c r="G191" s="40" t="str">
        <f>IFERROR(VLOOKUP(G189,'traspo ñ alterar'!$J$2:$M$500,3,FALSE),"")</f>
        <v>Clamor on line</v>
      </c>
      <c r="H191" s="40" t="str">
        <f>IFERROR(VLOOKUP(H189,'traspo ñ alterar'!$J$2:$M$500,3,FALSE),"")</f>
        <v/>
      </c>
      <c r="I191" s="25"/>
      <c r="J191" s="16"/>
      <c r="K191" s="16"/>
      <c r="L191" s="16"/>
    </row>
    <row r="192" ht="15.75" customHeight="1">
      <c r="A192" s="25"/>
      <c r="B192" s="39" t="str">
        <f>IFERROR(VLOOKUP(B189,'traspo ñ alterar'!$J$2:$M$500,4,FALSE),"")</f>
        <v/>
      </c>
      <c r="C192" s="40" t="str">
        <f>IFERROR(VLOOKUP(C189,'traspo ñ alterar'!$J$2:$M$500,4,FALSE),"")</f>
        <v/>
      </c>
      <c r="D192" s="40" t="str">
        <f>IFERROR(VLOOKUP(D189,'traspo ñ alterar'!$J$2:$M$500,4,FALSE),"")</f>
        <v/>
      </c>
      <c r="E192" s="40" t="str">
        <f>IFERROR(VLOOKUP(E189,'traspo ñ alterar'!$J$2:$M$500,4,FALSE),"")</f>
        <v/>
      </c>
      <c r="F192" s="40" t="str">
        <f>IFERROR(VLOOKUP(F189,'traspo ñ alterar'!$J$2:$M$500,4,FALSE),"")</f>
        <v/>
      </c>
      <c r="G192" s="40" t="str">
        <f>IFERROR(VLOOKUP(G189,'traspo ñ alterar'!$J$2:$M$500,4,FALSE),"")</f>
        <v/>
      </c>
      <c r="H192" s="40" t="str">
        <f>IFERROR(VLOOKUP(H189,'traspo ñ alterar'!$J$2:$M$500,4,FALSE),"")</f>
        <v/>
      </c>
      <c r="I192" s="25"/>
      <c r="J192" s="16"/>
      <c r="K192" s="16"/>
      <c r="L192" s="16"/>
    </row>
    <row r="193" ht="15.75" customHeight="1">
      <c r="A193" s="53"/>
      <c r="B193" s="41" t="str">
        <f>IFERROR(VLOOKUP(B190,'traspo ñ alterar'!$J$2:$M$500,5,FALSE),"")</f>
        <v/>
      </c>
      <c r="C193" s="42"/>
      <c r="D193" s="42"/>
      <c r="E193" s="42"/>
      <c r="F193" s="42"/>
      <c r="G193" s="42"/>
      <c r="H193" s="42"/>
      <c r="I193" s="53"/>
      <c r="J193" s="16"/>
      <c r="K193" s="16"/>
      <c r="L193" s="16"/>
    </row>
    <row r="194" ht="15.75" customHeight="1">
      <c r="A194" s="25"/>
      <c r="B194" s="37" t="str">
        <f t="array" ref="B194:H194">DiasESemanas+DATE(AnoCalendário,6,1)-WEEKDAY(DATE(AnoCalendário,6,1),(InícioDaSemana="segunda-feira")+1)+29</f>
        <v>28</v>
      </c>
      <c r="C194" s="37">
        <v>46202.0</v>
      </c>
      <c r="D194" s="44">
        <v>46203.0</v>
      </c>
      <c r="E194" s="36">
        <v>46204.0</v>
      </c>
      <c r="F194" s="37">
        <v>46205.0</v>
      </c>
      <c r="G194" s="71">
        <v>46206.0</v>
      </c>
      <c r="H194" s="37">
        <v>46207.0</v>
      </c>
      <c r="I194" s="25"/>
      <c r="J194" s="16"/>
      <c r="K194" s="16"/>
      <c r="L194" s="16"/>
    </row>
    <row r="195" ht="15.75" customHeight="1">
      <c r="A195" s="25"/>
      <c r="B195" s="39" t="str">
        <f>IFERROR(VLOOKUP(B194,'traspo ñ alterar'!$J$2:$M$500,2,FALSE),"")</f>
        <v>Conferência de Louvor (9h e 18h)</v>
      </c>
      <c r="C195" s="40" t="str">
        <f>IFERROR(VLOOKUP(C194,'traspo ñ alterar'!$J$2:$M$500,2,FALSE),"")</f>
        <v/>
      </c>
      <c r="D195" s="40" t="str">
        <f>IFERROR(VLOOKUP(D194,'traspo ñ alterar'!$J$2:$M$500,2,FALSE),"")</f>
        <v/>
      </c>
      <c r="E195" s="60" t="str">
        <f>IFERROR(VLOOKUP(E194,'traspo ñ alterar'!$J$2:$M$500,2,FALSE),"")</f>
        <v>Célula</v>
      </c>
      <c r="F195" s="60" t="str">
        <f>IFERROR(VLOOKUP(F194,'traspo ñ alterar'!$J$2:$M$500,2,FALSE),"")</f>
        <v>Levantar a Equipe do Reencontro</v>
      </c>
      <c r="G195" s="60" t="str">
        <f>IFERROR(VLOOKUP(G194,'traspo ñ alterar'!$J$2:$M$500,2,FALSE),"")</f>
        <v>Vigília</v>
      </c>
      <c r="H195" s="60" t="str">
        <f>IFERROR(VLOOKUP(H194,'traspo ñ alterar'!$J$2:$M$500,2,FALSE),"")</f>
        <v/>
      </c>
      <c r="I195" s="25"/>
      <c r="J195" s="16"/>
      <c r="K195" s="16"/>
      <c r="L195" s="16"/>
    </row>
    <row r="196" ht="15.75" customHeight="1">
      <c r="A196" s="25"/>
      <c r="B196" s="39" t="str">
        <f>IFERROR(VLOOKUP(B194,'traspo ñ alterar'!$J$2:$M$500,3,FALSE),"")</f>
        <v/>
      </c>
      <c r="C196" s="40" t="str">
        <f>IFERROR(VLOOKUP(C194,'traspo ñ alterar'!$J$2:$M$500,3,FALSE),"")</f>
        <v/>
      </c>
      <c r="D196" s="40" t="str">
        <f>IFERROR(VLOOKUP(D194,'traspo ñ alterar'!$J$2:$M$500,3,FALSE),"")</f>
        <v/>
      </c>
      <c r="E196" s="60" t="str">
        <f>IFERROR(VLOOKUP(E194,'traspo ñ alterar'!$J$2:$M$500,3,FALSE),"")</f>
        <v/>
      </c>
      <c r="F196" s="60" t="str">
        <f>IFERROR(VLOOKUP(F194,'traspo ñ alterar'!$J$2:$M$500,3,FALSE),"")</f>
        <v/>
      </c>
      <c r="G196" s="60" t="str">
        <f>IFERROR(VLOOKUP(G194,'traspo ñ alterar'!$J$2:$M$500,3,FALSE),"")</f>
        <v>Sexta cabeceira</v>
      </c>
      <c r="H196" s="60" t="str">
        <f>IFERROR(VLOOKUP(H194,'traspo ñ alterar'!$J$2:$M$500,3,FALSE),"")</f>
        <v/>
      </c>
      <c r="I196" s="25"/>
      <c r="J196" s="16"/>
      <c r="K196" s="16"/>
      <c r="L196" s="16"/>
    </row>
    <row r="197" ht="15.75" customHeight="1">
      <c r="A197" s="25"/>
      <c r="B197" s="39" t="str">
        <f>IFERROR(VLOOKUP(B194,'traspo ñ alterar'!$J$2:$M$500,4,FALSE),"")</f>
        <v/>
      </c>
      <c r="C197" s="40" t="str">
        <f>IFERROR(VLOOKUP(C194,'traspo ñ alterar'!$J$2:$M$500,4,FALSE),"")</f>
        <v/>
      </c>
      <c r="D197" s="40" t="str">
        <f>IFERROR(VLOOKUP(D194,'traspo ñ alterar'!$J$2:$M$500,4,FALSE),"")</f>
        <v/>
      </c>
      <c r="E197" s="60" t="str">
        <f>IFERROR(VLOOKUP(E194,'traspo ñ alterar'!$J$2:$M$500,4,FALSE),"")</f>
        <v/>
      </c>
      <c r="F197" s="60" t="str">
        <f>IFERROR(VLOOKUP(F194,'traspo ñ alterar'!$J$2:$M$500,4,FALSE),"")</f>
        <v/>
      </c>
      <c r="G197" s="60" t="str">
        <f>IFERROR(VLOOKUP(G194,'traspo ñ alterar'!$J$2:$M$500,4,FALSE),"")</f>
        <v/>
      </c>
      <c r="H197" s="60" t="str">
        <f>IFERROR(VLOOKUP(H194,'traspo ñ alterar'!$J$2:$M$500,4,FALSE),"")</f>
        <v/>
      </c>
      <c r="I197" s="25"/>
      <c r="J197" s="16"/>
      <c r="K197" s="16"/>
      <c r="L197" s="16"/>
    </row>
    <row r="198" ht="15.75" customHeight="1">
      <c r="A198" s="53"/>
      <c r="B198" s="41" t="str">
        <f>IFERROR(VLOOKUP(B195,'traspo ñ alterar'!$J$2:$M$500,5,FALSE),"")</f>
        <v/>
      </c>
      <c r="C198" s="42"/>
      <c r="D198" s="42"/>
      <c r="E198" s="66"/>
      <c r="F198" s="66"/>
      <c r="G198" s="66"/>
      <c r="H198" s="66"/>
      <c r="I198" s="53"/>
      <c r="J198" s="16"/>
      <c r="K198" s="16"/>
      <c r="L198" s="16"/>
    </row>
    <row r="199" ht="15.75" customHeight="1">
      <c r="A199" s="25"/>
      <c r="B199" s="37" t="str">
        <f t="array" ref="B199:C199">DiasESemanas+DATE(AnoCalendário,6,1)-WEEKDAY(DATE(AnoCalendário,6,1),(InícioDaSemana="segunda-feira")+1)+36</f>
        <v>5</v>
      </c>
      <c r="C199" s="37">
        <v>46209.0</v>
      </c>
      <c r="D199" s="45" t="s">
        <v>133</v>
      </c>
      <c r="E199" s="46"/>
      <c r="F199" s="46"/>
      <c r="G199" s="46"/>
      <c r="H199" s="47"/>
      <c r="I199" s="25"/>
      <c r="J199" s="16"/>
      <c r="K199" s="16"/>
      <c r="L199" s="16"/>
    </row>
    <row r="200" ht="15.75" customHeight="1">
      <c r="A200" s="25"/>
      <c r="B200" s="48" t="str">
        <f>IFERROR(VLOOKUP(B199,'traspo ñ alterar'!$J$2:$M$500,2,FALSE),"")</f>
        <v>Culto em Rio Brilhante</v>
      </c>
      <c r="C200" s="60" t="str">
        <f>IFERROR(VLOOKUP(C199,'traspo ñ alterar'!$J$2:$M$500,2,FALSE),"")</f>
        <v/>
      </c>
      <c r="D200" s="50"/>
      <c r="E200" s="51"/>
      <c r="F200" s="51"/>
      <c r="G200" s="51"/>
      <c r="H200" s="52"/>
      <c r="I200" s="25"/>
      <c r="J200" s="16"/>
      <c r="K200" s="16"/>
      <c r="L200" s="16"/>
    </row>
    <row r="201" ht="15.75" customHeight="1">
      <c r="A201" s="25"/>
      <c r="B201" s="48" t="str">
        <f>IFERROR(VLOOKUP(B199,'traspo ñ alterar'!$J$2:$M$500,3,FALSE),"")</f>
        <v/>
      </c>
      <c r="C201" s="60" t="str">
        <f>IFERROR(VLOOKUP(C199,'traspo ñ alterar'!$J$2:$M$500,3,FALSE),"")</f>
        <v/>
      </c>
      <c r="D201" s="50"/>
      <c r="E201" s="51"/>
      <c r="F201" s="51"/>
      <c r="G201" s="51"/>
      <c r="H201" s="52"/>
      <c r="I201" s="25"/>
      <c r="J201" s="16"/>
      <c r="K201" s="16"/>
      <c r="L201" s="16"/>
    </row>
    <row r="202" ht="15.75" customHeight="1">
      <c r="A202" s="25"/>
      <c r="B202" s="48" t="str">
        <f>IFERROR(VLOOKUP(B199,'traspo ñ alterar'!$J$2:$M$500,4,FALSE),"")</f>
        <v/>
      </c>
      <c r="C202" s="60" t="str">
        <f>IFERROR(VLOOKUP(C199,'traspo ñ alterar'!$J$2:$M$500,4,FALSE),"")</f>
        <v/>
      </c>
      <c r="D202" s="50"/>
      <c r="E202" s="51"/>
      <c r="F202" s="51"/>
      <c r="G202" s="51"/>
      <c r="H202" s="52"/>
      <c r="I202" s="25"/>
      <c r="J202" s="16"/>
      <c r="K202" s="16"/>
      <c r="L202" s="16"/>
    </row>
    <row r="203" ht="15.75" customHeight="1">
      <c r="A203" s="53"/>
      <c r="B203" s="70" t="str">
        <f>IFERROR(VLOOKUP(B200,'traspo ñ alterar'!$J$2:$M$500,5,FALSE),"")</f>
        <v/>
      </c>
      <c r="C203" s="64"/>
      <c r="D203" s="56"/>
      <c r="E203" s="57"/>
      <c r="F203" s="57"/>
      <c r="G203" s="57"/>
      <c r="H203" s="58"/>
      <c r="I203" s="53"/>
      <c r="J203" s="16"/>
      <c r="K203" s="16"/>
      <c r="L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 t="s">
        <v>128</v>
      </c>
      <c r="J205" s="16"/>
      <c r="K205" s="16"/>
      <c r="L205" s="16"/>
    </row>
    <row r="206" ht="15.75" customHeight="1">
      <c r="A206" s="16"/>
      <c r="B206" s="17" t="str">
        <f>"Julho "&amp;AnoCalendário</f>
        <v>Julho 2026</v>
      </c>
      <c r="E206" s="18"/>
      <c r="F206" s="18"/>
      <c r="G206" s="18"/>
      <c r="H206" s="19"/>
      <c r="I206" s="16"/>
      <c r="J206" s="16"/>
      <c r="K206" s="16"/>
      <c r="L206" s="16"/>
    </row>
    <row r="207" ht="15.75" customHeight="1">
      <c r="A207" s="20"/>
      <c r="B207" s="22" t="str">
        <f>InícioDaSemana</f>
        <v>domingo</v>
      </c>
      <c r="C207" s="22" t="str">
        <f t="shared" ref="C207:H207" si="7">TEXT(C208,"dddd")</f>
        <v>Monday</v>
      </c>
      <c r="D207" s="22" t="str">
        <f t="shared" si="7"/>
        <v>Tuesday</v>
      </c>
      <c r="E207" s="22" t="str">
        <f t="shared" si="7"/>
        <v>Wednesday</v>
      </c>
      <c r="F207" s="22" t="str">
        <f t="shared" si="7"/>
        <v>Thursday</v>
      </c>
      <c r="G207" s="22" t="str">
        <f t="shared" si="7"/>
        <v>Friday</v>
      </c>
      <c r="H207" s="22" t="str">
        <f t="shared" si="7"/>
        <v>Saturday</v>
      </c>
      <c r="I207" s="20"/>
      <c r="J207" s="16"/>
      <c r="K207" s="16"/>
      <c r="L207" s="16"/>
    </row>
    <row r="208" ht="15.75" customHeight="1">
      <c r="A208" s="25"/>
      <c r="B208" s="27" t="str">
        <f t="array" ref="B208:H208">DiasESemanas+DATE(AnoCalendário,7,1)-WEEKDAY(DATE(AnoCalendário,7,1),(InícioDaSemana="segunda-feira")+1)+1</f>
        <v>28</v>
      </c>
      <c r="C208" s="27">
        <v>46202.0</v>
      </c>
      <c r="D208" s="27">
        <v>46203.0</v>
      </c>
      <c r="E208" s="27">
        <v>46204.0</v>
      </c>
      <c r="F208" s="27">
        <v>46205.0</v>
      </c>
      <c r="G208" s="27">
        <v>46206.0</v>
      </c>
      <c r="H208" s="27">
        <v>46207.0</v>
      </c>
      <c r="I208" s="25"/>
      <c r="J208" s="16"/>
      <c r="K208" s="16"/>
      <c r="L208" s="16"/>
    </row>
    <row r="209" ht="15.75" customHeight="1">
      <c r="A209" s="25"/>
      <c r="B209" s="48" t="str">
        <f>IFERROR(VLOOKUP(B208,'traspo ñ alterar'!$J$2:$M$500,2,FALSE),"")</f>
        <v>Conferência de Louvor (9h e 18h)</v>
      </c>
      <c r="C209" s="60" t="str">
        <f>IFERROR(VLOOKUP(C208,'traspo ñ alterar'!$J$2:$M$500,2,FALSE),"")</f>
        <v/>
      </c>
      <c r="D209" s="60" t="str">
        <f>IFERROR(VLOOKUP(D208,'traspo ñ alterar'!$J$2:$M$500,2,FALSE),"")</f>
        <v/>
      </c>
      <c r="E209" s="40" t="str">
        <f>IFERROR(VLOOKUP(E208,'traspo ñ alterar'!$J$2:$M$500,2,FALSE),"")</f>
        <v>Célula</v>
      </c>
      <c r="F209" s="40" t="str">
        <f>IFERROR(VLOOKUP(F208,'traspo ñ alterar'!$J$2:$M$500,2,FALSE),"")</f>
        <v>Levantar a Equipe do Reencontro</v>
      </c>
      <c r="G209" s="40" t="str">
        <f>IFERROR(VLOOKUP(G208,'traspo ñ alterar'!$J$2:$M$500,2,FALSE),"")</f>
        <v>Vigília</v>
      </c>
      <c r="H209" s="40" t="str">
        <f>IFERROR(VLOOKUP(H208,'traspo ñ alterar'!$J$2:$M$500,2,FALSE),"")</f>
        <v/>
      </c>
      <c r="I209" s="25"/>
      <c r="J209" s="16"/>
      <c r="K209" s="16"/>
      <c r="L209" s="16"/>
    </row>
    <row r="210" ht="15.75" customHeight="1">
      <c r="A210" s="25"/>
      <c r="B210" s="48" t="str">
        <f>IFERROR(VLOOKUP(B208,'traspo ñ alterar'!$J$2:$M$500,3,FALSE),"")</f>
        <v/>
      </c>
      <c r="C210" s="60" t="str">
        <f>IFERROR(VLOOKUP(C208,'traspo ñ alterar'!$J$2:$M$500,3,FALSE),"")</f>
        <v/>
      </c>
      <c r="D210" s="60" t="str">
        <f>IFERROR(VLOOKUP(D208,'traspo ñ alterar'!$J$2:$M$500,3,FALSE),"")</f>
        <v/>
      </c>
      <c r="E210" s="40" t="str">
        <f>IFERROR(VLOOKUP(E208,'traspo ñ alterar'!$J$2:$M$500,3,FALSE),"")</f>
        <v/>
      </c>
      <c r="F210" s="40" t="str">
        <f>IFERROR(VLOOKUP(F208,'traspo ñ alterar'!$J$2:$M$500,3,FALSE),"")</f>
        <v/>
      </c>
      <c r="G210" s="40" t="str">
        <f>IFERROR(VLOOKUP(G208,'traspo ñ alterar'!$J$2:$M$500,3,FALSE),"")</f>
        <v>Sexta cabeceira</v>
      </c>
      <c r="H210" s="40" t="str">
        <f>IFERROR(VLOOKUP(H208,'traspo ñ alterar'!$J$2:$M$500,3,FALSE),"")</f>
        <v/>
      </c>
      <c r="I210" s="25"/>
      <c r="J210" s="16"/>
      <c r="K210" s="16"/>
      <c r="L210" s="16"/>
    </row>
    <row r="211" ht="15.75" customHeight="1">
      <c r="A211" s="25"/>
      <c r="B211" s="48" t="str">
        <f>IFERROR(VLOOKUP(B208,'traspo ñ alterar'!$J$2:$M$500,4,FALSE),"")</f>
        <v/>
      </c>
      <c r="C211" s="60" t="str">
        <f>IFERROR(VLOOKUP(C208,'traspo ñ alterar'!$J$2:$M$500,4,FALSE),"")</f>
        <v/>
      </c>
      <c r="D211" s="60" t="str">
        <f>IFERROR(VLOOKUP(D208,'traspo ñ alterar'!$J$2:$M$500,4,FALSE),"")</f>
        <v/>
      </c>
      <c r="E211" s="40" t="str">
        <f>IFERROR(VLOOKUP(E208,'traspo ñ alterar'!$J$2:$M$500,4,FALSE),"")</f>
        <v/>
      </c>
      <c r="F211" s="40" t="str">
        <f>IFERROR(VLOOKUP(F208,'traspo ñ alterar'!$J$2:$M$500,4,FALSE),"")</f>
        <v/>
      </c>
      <c r="G211" s="40" t="str">
        <f>IFERROR(VLOOKUP(G208,'traspo ñ alterar'!$J$2:$M$500,4,FALSE),"")</f>
        <v/>
      </c>
      <c r="H211" s="40" t="str">
        <f>IFERROR(VLOOKUP(H208,'traspo ñ alterar'!$J$2:$M$500,4,FALSE),"")</f>
        <v/>
      </c>
      <c r="I211" s="25"/>
      <c r="J211" s="16"/>
      <c r="K211" s="16"/>
      <c r="L211" s="16"/>
    </row>
    <row r="212" ht="15.75" customHeight="1">
      <c r="A212" s="53"/>
      <c r="B212" s="69" t="str">
        <f>IFERROR(VLOOKUP(B209,'traspo ñ alterar'!$J$2:$M$500,5,FALSE),"")</f>
        <v/>
      </c>
      <c r="C212" s="66"/>
      <c r="D212" s="66"/>
      <c r="E212" s="42"/>
      <c r="F212" s="42"/>
      <c r="G212" s="42"/>
      <c r="H212" s="42"/>
      <c r="I212" s="53"/>
      <c r="J212" s="16"/>
      <c r="K212" s="16"/>
      <c r="L212" s="16"/>
    </row>
    <row r="213" ht="15.75" customHeight="1">
      <c r="A213" s="25"/>
      <c r="B213" s="37" t="str">
        <f t="array" ref="B213:H213">DiasESemanas+DATE(AnoCalendário,7,1)-WEEKDAY(DATE(AnoCalendário,7,1),(InícioDaSemana="segunda-feira")+1)+8</f>
        <v>5</v>
      </c>
      <c r="C213" s="37">
        <v>46209.0</v>
      </c>
      <c r="D213" s="37">
        <v>46210.0</v>
      </c>
      <c r="E213" s="37">
        <v>46211.0</v>
      </c>
      <c r="F213" s="37">
        <v>46212.0</v>
      </c>
      <c r="G213" s="37">
        <v>46213.0</v>
      </c>
      <c r="H213" s="37">
        <v>46214.0</v>
      </c>
      <c r="I213" s="25"/>
      <c r="J213" s="16"/>
      <c r="K213" s="16"/>
      <c r="L213" s="16"/>
    </row>
    <row r="214" ht="15.75" customHeight="1">
      <c r="A214" s="25"/>
      <c r="B214" s="39" t="str">
        <f>IFERROR(VLOOKUP(B213,'traspo ñ alterar'!$J$2:$M$500,2,FALSE),"")</f>
        <v>Culto em Rio Brilhante</v>
      </c>
      <c r="C214" s="40" t="str">
        <f>IFERROR(VLOOKUP(C213,'traspo ñ alterar'!$J$2:$M$500,2,FALSE),"")</f>
        <v/>
      </c>
      <c r="D214" s="40" t="str">
        <f>IFERROR(VLOOKUP(D213,'traspo ñ alterar'!$J$2:$M$500,2,FALSE),"")</f>
        <v>Reunião Reencontro com Deus</v>
      </c>
      <c r="E214" s="40" t="str">
        <f>IFERROR(VLOOKUP(E213,'traspo ñ alterar'!$J$2:$M$500,2,FALSE),"")</f>
        <v>Célula</v>
      </c>
      <c r="F214" s="40" t="str">
        <f>IFERROR(VLOOKUP(F213,'traspo ñ alterar'!$J$2:$M$500,2,FALSE),"")</f>
        <v>Encontro Mensal de Mulheres</v>
      </c>
      <c r="G214" s="40" t="str">
        <f>IFERROR(VLOOKUP(G213,'traspo ñ alterar'!$J$2:$M$500,2,FALSE),"")</f>
        <v>Sexta cabeceira</v>
      </c>
      <c r="H214" s="40" t="str">
        <f>IFERROR(VLOOKUP(H213,'traspo ñ alterar'!$J$2:$M$500,2,FALSE),"")</f>
        <v>Festival de Inverno</v>
      </c>
      <c r="I214" s="25"/>
      <c r="J214" s="16"/>
      <c r="K214" s="16"/>
      <c r="L214" s="16"/>
    </row>
    <row r="215" ht="15.75" customHeight="1">
      <c r="A215" s="25"/>
      <c r="B215" s="39" t="str">
        <f>IFERROR(VLOOKUP(B213,'traspo ñ alterar'!$J$2:$M$500,3,FALSE),"")</f>
        <v/>
      </c>
      <c r="C215" s="40" t="str">
        <f>IFERROR(VLOOKUP(C213,'traspo ñ alterar'!$J$2:$M$500,3,FALSE),"")</f>
        <v/>
      </c>
      <c r="D215" s="40" t="str">
        <f>IFERROR(VLOOKUP(D213,'traspo ñ alterar'!$J$2:$M$500,3,FALSE),"")</f>
        <v/>
      </c>
      <c r="E215" s="40" t="str">
        <f>IFERROR(VLOOKUP(E213,'traspo ñ alterar'!$J$2:$M$500,3,FALSE),"")</f>
        <v/>
      </c>
      <c r="F215" s="40" t="str">
        <f>IFERROR(VLOOKUP(F213,'traspo ñ alterar'!$J$2:$M$500,3,FALSE),"")</f>
        <v/>
      </c>
      <c r="G215" s="40" t="str">
        <f>IFERROR(VLOOKUP(G213,'traspo ñ alterar'!$J$2:$M$500,3,FALSE),"")</f>
        <v/>
      </c>
      <c r="H215" s="40" t="str">
        <f>IFERROR(VLOOKUP(H213,'traspo ñ alterar'!$J$2:$M$500,3,FALSE),"")</f>
        <v>Relogio de oração</v>
      </c>
      <c r="I215" s="25"/>
      <c r="J215" s="16"/>
      <c r="K215" s="16"/>
      <c r="L215" s="16"/>
    </row>
    <row r="216" ht="15.75" customHeight="1">
      <c r="A216" s="25"/>
      <c r="B216" s="39" t="str">
        <f>IFERROR(VLOOKUP(B213,'traspo ñ alterar'!$J$2:$M$500,4,FALSE),"")</f>
        <v/>
      </c>
      <c r="C216" s="40" t="str">
        <f>IFERROR(VLOOKUP(C213,'traspo ñ alterar'!$J$2:$M$500,4,FALSE),"")</f>
        <v/>
      </c>
      <c r="D216" s="40" t="str">
        <f>IFERROR(VLOOKUP(D213,'traspo ñ alterar'!$J$2:$M$500,4,FALSE),"")</f>
        <v/>
      </c>
      <c r="E216" s="40" t="str">
        <f>IFERROR(VLOOKUP(E213,'traspo ñ alterar'!$J$2:$M$500,4,FALSE),"")</f>
        <v/>
      </c>
      <c r="F216" s="40" t="str">
        <f>IFERROR(VLOOKUP(F213,'traspo ñ alterar'!$J$2:$M$500,4,FALSE),"")</f>
        <v/>
      </c>
      <c r="G216" s="40" t="str">
        <f>IFERROR(VLOOKUP(G213,'traspo ñ alterar'!$J$2:$M$500,4,FALSE),"")</f>
        <v/>
      </c>
      <c r="H216" s="40" t="str">
        <f>IFERROR(VLOOKUP(H213,'traspo ñ alterar'!$J$2:$M$500,4,FALSE),"")</f>
        <v/>
      </c>
      <c r="I216" s="25"/>
      <c r="J216" s="16"/>
      <c r="K216" s="16"/>
      <c r="L216" s="16"/>
    </row>
    <row r="217" ht="15.75" customHeight="1">
      <c r="A217" s="53"/>
      <c r="B217" s="41" t="str">
        <f>IFERROR(VLOOKUP(B214,'traspo ñ alterar'!$J$2:$M$500,5,FALSE),"")</f>
        <v/>
      </c>
      <c r="C217" s="42"/>
      <c r="D217" s="42"/>
      <c r="E217" s="42"/>
      <c r="F217" s="42"/>
      <c r="G217" s="42"/>
      <c r="H217" s="42"/>
      <c r="I217" s="53"/>
      <c r="J217" s="16"/>
      <c r="K217" s="16"/>
      <c r="L217" s="16"/>
    </row>
    <row r="218" ht="15.75" customHeight="1">
      <c r="A218" s="25"/>
      <c r="B218" s="37" t="str">
        <f t="array" ref="B218:H218">DiasESemanas+DATE(AnoCalendário,7,1)-WEEKDAY(DATE(AnoCalendário,7,1),(InícioDaSemana="segunda-feira")+1)+15</f>
        <v>12</v>
      </c>
      <c r="C218" s="37">
        <v>46216.0</v>
      </c>
      <c r="D218" s="37">
        <v>46217.0</v>
      </c>
      <c r="E218" s="37">
        <v>46218.0</v>
      </c>
      <c r="F218" s="37">
        <v>46219.0</v>
      </c>
      <c r="G218" s="37">
        <v>46220.0</v>
      </c>
      <c r="H218" s="37">
        <v>46221.0</v>
      </c>
      <c r="I218" s="25"/>
      <c r="J218" s="16"/>
      <c r="K218" s="16"/>
      <c r="L218" s="16"/>
    </row>
    <row r="219" ht="15.75" customHeight="1">
      <c r="A219" s="25"/>
      <c r="B219" s="39" t="str">
        <f>IFERROR(VLOOKUP(B218,'traspo ñ alterar'!$J$2:$M$500,2,FALSE),"")</f>
        <v>Cantina prol GE</v>
      </c>
      <c r="C219" s="40" t="str">
        <f>IFERROR(VLOOKUP(C218,'traspo ñ alterar'!$J$2:$M$500,2,FALSE),"")</f>
        <v/>
      </c>
      <c r="D219" s="40" t="str">
        <f>IFERROR(VLOOKUP(D218,'traspo ñ alterar'!$J$2:$M$500,2,FALSE),"")</f>
        <v/>
      </c>
      <c r="E219" s="40" t="str">
        <f>IFERROR(VLOOKUP(E218,'traspo ñ alterar'!$J$2:$M$500,2,FALSE),"")</f>
        <v>Célula</v>
      </c>
      <c r="F219" s="40" t="str">
        <f>IFERROR(VLOOKUP(F218,'traspo ñ alterar'!$J$2:$M$500,2,FALSE),"")</f>
        <v>Park games</v>
      </c>
      <c r="G219" s="40" t="str">
        <f>IFERROR(VLOOKUP(G218,'traspo ñ alterar'!$J$2:$M$500,2,FALSE),"")</f>
        <v>Sexta cabeceira</v>
      </c>
      <c r="H219" s="40" t="str">
        <f>IFERROR(VLOOKUP(H218,'traspo ñ alterar'!$J$2:$M$500,2,FALSE),"")</f>
        <v>Inteensos</v>
      </c>
      <c r="I219" s="25"/>
      <c r="J219" s="16"/>
      <c r="K219" s="16"/>
      <c r="L219" s="16"/>
    </row>
    <row r="220" ht="15.75" customHeight="1">
      <c r="A220" s="25"/>
      <c r="B220" s="39" t="str">
        <f>IFERROR(VLOOKUP(B218,'traspo ñ alterar'!$J$2:$M$500,3,FALSE),"")</f>
        <v/>
      </c>
      <c r="C220" s="40" t="str">
        <f>IFERROR(VLOOKUP(C218,'traspo ñ alterar'!$J$2:$M$500,3,FALSE),"")</f>
        <v/>
      </c>
      <c r="D220" s="40" t="str">
        <f>IFERROR(VLOOKUP(D218,'traspo ñ alterar'!$J$2:$M$500,3,FALSE),"")</f>
        <v/>
      </c>
      <c r="E220" s="40" t="str">
        <f>IFERROR(VLOOKUP(E218,'traspo ñ alterar'!$J$2:$M$500,3,FALSE),"")</f>
        <v/>
      </c>
      <c r="F220" s="40" t="str">
        <f>IFERROR(VLOOKUP(F218,'traspo ñ alterar'!$J$2:$M$500,3,FALSE),"")</f>
        <v>Culto de homens</v>
      </c>
      <c r="G220" s="40" t="str">
        <f>IFERROR(VLOOKUP(G218,'traspo ñ alterar'!$J$2:$M$500,3,FALSE),"")</f>
        <v/>
      </c>
      <c r="H220" s="40" t="str">
        <f>IFERROR(VLOOKUP(H218,'traspo ñ alterar'!$J$2:$M$500,3,FALSE),"")</f>
        <v/>
      </c>
      <c r="I220" s="25"/>
      <c r="J220" s="16"/>
      <c r="K220" s="16"/>
      <c r="L220" s="16"/>
    </row>
    <row r="221" ht="15.75" customHeight="1">
      <c r="A221" s="25"/>
      <c r="B221" s="39" t="str">
        <f>IFERROR(VLOOKUP(B218,'traspo ñ alterar'!$J$2:$M$500,4,FALSE),"")</f>
        <v/>
      </c>
      <c r="C221" s="40" t="str">
        <f>IFERROR(VLOOKUP(C218,'traspo ñ alterar'!$J$2:$M$500,4,FALSE),"")</f>
        <v/>
      </c>
      <c r="D221" s="40" t="str">
        <f>IFERROR(VLOOKUP(D218,'traspo ñ alterar'!$J$2:$M$500,4,FALSE),"")</f>
        <v/>
      </c>
      <c r="E221" s="40" t="str">
        <f>IFERROR(VLOOKUP(E218,'traspo ñ alterar'!$J$2:$M$500,4,FALSE),"")</f>
        <v/>
      </c>
      <c r="F221" s="40" t="str">
        <f>IFERROR(VLOOKUP(F218,'traspo ñ alterar'!$J$2:$M$500,4,FALSE),"")</f>
        <v/>
      </c>
      <c r="G221" s="40" t="str">
        <f>IFERROR(VLOOKUP(G218,'traspo ñ alterar'!$J$2:$M$500,4,FALSE),"")</f>
        <v/>
      </c>
      <c r="H221" s="40" t="str">
        <f>IFERROR(VLOOKUP(H218,'traspo ñ alterar'!$J$2:$M$500,4,FALSE),"")</f>
        <v/>
      </c>
      <c r="I221" s="25"/>
      <c r="J221" s="16"/>
      <c r="K221" s="16"/>
      <c r="L221" s="16"/>
    </row>
    <row r="222" ht="15.75" customHeight="1">
      <c r="A222" s="25"/>
      <c r="B222" s="40" t="str">
        <f>IFERROR(VLOOKUP(B219,'traspo ñ alterar'!$J$2:$M$500,5,FALSE),"")</f>
        <v/>
      </c>
      <c r="C222" s="40"/>
      <c r="D222" s="40"/>
      <c r="E222" s="40"/>
      <c r="F222" s="40"/>
      <c r="G222" s="40"/>
      <c r="H222" s="40"/>
      <c r="I222" s="25"/>
      <c r="J222" s="16"/>
      <c r="K222" s="16"/>
      <c r="L222" s="16"/>
    </row>
    <row r="223" ht="15.75" customHeight="1">
      <c r="A223" s="53"/>
      <c r="B223" s="72"/>
      <c r="C223" s="72"/>
      <c r="D223" s="72"/>
      <c r="E223" s="72"/>
      <c r="F223" s="72"/>
      <c r="G223" s="72"/>
      <c r="H223" s="72"/>
      <c r="I223" s="53"/>
      <c r="J223" s="16"/>
      <c r="K223" s="16"/>
      <c r="L223" s="16"/>
    </row>
    <row r="224" ht="15.75" customHeight="1">
      <c r="A224" s="25"/>
      <c r="B224" s="37" t="str">
        <f t="array" ref="B224:H224">DiasESemanas+DATE(AnoCalendário,7,1)-WEEKDAY(DATE(AnoCalendário,7,1),(InícioDaSemana="segunda-feira")+1)+22</f>
        <v>19</v>
      </c>
      <c r="C224" s="37">
        <v>46223.0</v>
      </c>
      <c r="D224" s="37">
        <v>46224.0</v>
      </c>
      <c r="E224" s="37">
        <v>46225.0</v>
      </c>
      <c r="F224" s="37">
        <v>46226.0</v>
      </c>
      <c r="G224" s="37">
        <v>46227.0</v>
      </c>
      <c r="H224" s="37">
        <v>46228.0</v>
      </c>
      <c r="I224" s="25"/>
      <c r="J224" s="16"/>
      <c r="K224" s="16"/>
      <c r="L224" s="16"/>
    </row>
    <row r="225" ht="15.75" customHeight="1">
      <c r="A225" s="25"/>
      <c r="B225" s="39" t="str">
        <f>IFERROR(VLOOKUP(B224,'traspo ñ alterar'!$J$2:$M$500,2,FALSE),"")</f>
        <v/>
      </c>
      <c r="C225" s="40" t="str">
        <f>IFERROR(VLOOKUP(C224,'traspo ñ alterar'!$J$2:$M$500,2,FALSE),"")</f>
        <v/>
      </c>
      <c r="D225" s="40" t="str">
        <f>IFERROR(VLOOKUP(D224,'traspo ñ alterar'!$J$2:$M$500,2,FALSE),"")</f>
        <v/>
      </c>
      <c r="E225" s="40" t="str">
        <f>IFERROR(VLOOKUP(E224,'traspo ñ alterar'!$J$2:$M$500,2,FALSE),"")</f>
        <v>Célula</v>
      </c>
      <c r="F225" s="40" t="str">
        <f>IFERROR(VLOOKUP(F224,'traspo ñ alterar'!$J$2:$M$500,2,FALSE),"")</f>
        <v/>
      </c>
      <c r="G225" s="40" t="str">
        <f>IFERROR(VLOOKUP(G224,'traspo ñ alterar'!$J$2:$M$500,2,FALSE),"")</f>
        <v>Sexta cabeceira</v>
      </c>
      <c r="H225" s="40" t="str">
        <f>IFERROR(VLOOKUP(H224,'traspo ñ alterar'!$J$2:$M$500,2,FALSE),"")</f>
        <v>Conferência de homens</v>
      </c>
      <c r="I225" s="25"/>
      <c r="J225" s="16"/>
      <c r="K225" s="16"/>
      <c r="L225" s="16"/>
    </row>
    <row r="226" ht="15.75" customHeight="1">
      <c r="A226" s="25"/>
      <c r="B226" s="39" t="str">
        <f>IFERROR(VLOOKUP(B224,'traspo ñ alterar'!$J$2:$M$500,3,FALSE),"")</f>
        <v/>
      </c>
      <c r="C226" s="40" t="str">
        <f>IFERROR(VLOOKUP(C224,'traspo ñ alterar'!$J$2:$M$500,3,FALSE),"")</f>
        <v/>
      </c>
      <c r="D226" s="40" t="str">
        <f>IFERROR(VLOOKUP(D224,'traspo ñ alterar'!$J$2:$M$500,3,FALSE),"")</f>
        <v/>
      </c>
      <c r="E226" s="40" t="str">
        <f>IFERROR(VLOOKUP(E224,'traspo ñ alterar'!$J$2:$M$500,3,FALSE),"")</f>
        <v/>
      </c>
      <c r="F226" s="40" t="str">
        <f>IFERROR(VLOOKUP(F224,'traspo ñ alterar'!$J$2:$M$500,3,FALSE),"")</f>
        <v/>
      </c>
      <c r="G226" s="40" t="str">
        <f>IFERROR(VLOOKUP(G224,'traspo ñ alterar'!$J$2:$M$500,3,FALSE),"")</f>
        <v/>
      </c>
      <c r="H226" s="40" t="str">
        <f>IFERROR(VLOOKUP(H224,'traspo ñ alterar'!$J$2:$M$500,3,FALSE),"")</f>
        <v/>
      </c>
      <c r="I226" s="25"/>
      <c r="J226" s="16"/>
      <c r="K226" s="16"/>
      <c r="L226" s="16"/>
    </row>
    <row r="227" ht="15.75" customHeight="1">
      <c r="A227" s="25"/>
      <c r="B227" s="39" t="str">
        <f>IFERROR(VLOOKUP(B224,'traspo ñ alterar'!$J$2:$M$500,4,FALSE),"")</f>
        <v/>
      </c>
      <c r="C227" s="40" t="str">
        <f>IFERROR(VLOOKUP(C224,'traspo ñ alterar'!$J$2:$M$500,4,FALSE),"")</f>
        <v/>
      </c>
      <c r="D227" s="40" t="str">
        <f>IFERROR(VLOOKUP(D224,'traspo ñ alterar'!$J$2:$M$500,4,FALSE),"")</f>
        <v/>
      </c>
      <c r="E227" s="40" t="str">
        <f>IFERROR(VLOOKUP(E224,'traspo ñ alterar'!$J$2:$M$500,4,FALSE),"")</f>
        <v/>
      </c>
      <c r="F227" s="40" t="str">
        <f>IFERROR(VLOOKUP(F224,'traspo ñ alterar'!$J$2:$M$500,4,FALSE),"")</f>
        <v/>
      </c>
      <c r="G227" s="40" t="str">
        <f>IFERROR(VLOOKUP(G224,'traspo ñ alterar'!$J$2:$M$500,4,FALSE),"")</f>
        <v/>
      </c>
      <c r="H227" s="40" t="str">
        <f>IFERROR(VLOOKUP(H224,'traspo ñ alterar'!$J$2:$M$500,4,FALSE),"")</f>
        <v/>
      </c>
      <c r="I227" s="25"/>
      <c r="J227" s="16"/>
      <c r="K227" s="16"/>
      <c r="L227" s="16"/>
    </row>
    <row r="228" ht="15.75" customHeight="1">
      <c r="A228" s="53"/>
      <c r="B228" s="41" t="str">
        <f>IFERROR(VLOOKUP(B225,'traspo ñ alterar'!$J$2:$M$500,5,FALSE),"")</f>
        <v/>
      </c>
      <c r="C228" s="42"/>
      <c r="D228" s="42"/>
      <c r="E228" s="42"/>
      <c r="F228" s="42"/>
      <c r="G228" s="42"/>
      <c r="H228" s="42"/>
      <c r="I228" s="53"/>
      <c r="J228" s="16"/>
      <c r="K228" s="16"/>
      <c r="L228" s="16"/>
    </row>
    <row r="229" ht="15.75" customHeight="1">
      <c r="A229" s="25"/>
      <c r="B229" s="37" t="str">
        <f t="array" ref="B229:H229">DiasESemanas+DATE(AnoCalendário,7,1)-WEEKDAY(DATE(AnoCalendário,7,1),(InícioDaSemana="segunda-feira")+1)+29</f>
        <v>26</v>
      </c>
      <c r="C229" s="37">
        <v>46230.0</v>
      </c>
      <c r="D229" s="37">
        <v>46231.0</v>
      </c>
      <c r="E229" s="37">
        <v>46232.0</v>
      </c>
      <c r="F229" s="37">
        <v>46233.0</v>
      </c>
      <c r="G229" s="37">
        <v>46234.0</v>
      </c>
      <c r="H229" s="37">
        <v>46235.0</v>
      </c>
      <c r="I229" s="25"/>
      <c r="J229" s="16"/>
      <c r="K229" s="16"/>
      <c r="L229" s="16"/>
    </row>
    <row r="230" ht="15.75" customHeight="1">
      <c r="A230" s="25"/>
      <c r="B230" s="39" t="str">
        <f>IFERROR(VLOOKUP(B229,'traspo ñ alterar'!$J$2:$M$500,2,FALSE),"")</f>
        <v>Conferência de homens</v>
      </c>
      <c r="C230" s="40" t="str">
        <f>IFERROR(VLOOKUP(C229,'traspo ñ alterar'!$J$2:$M$500,2,FALSE),"")</f>
        <v>Clamor on line</v>
      </c>
      <c r="D230" s="40" t="str">
        <f>IFERROR(VLOOKUP(D229,'traspo ñ alterar'!$J$2:$M$500,2,FALSE),"")</f>
        <v>Clamor on line</v>
      </c>
      <c r="E230" s="40" t="str">
        <f>IFERROR(VLOOKUP(E229,'traspo ñ alterar'!$J$2:$M$500,2,FALSE),"")</f>
        <v>Clamor on line</v>
      </c>
      <c r="F230" s="40" t="str">
        <f>IFERROR(VLOOKUP(F229,'traspo ñ alterar'!$J$2:$M$500,2,FALSE),"")</f>
        <v>Clamor on line</v>
      </c>
      <c r="G230" s="40" t="str">
        <f>IFERROR(VLOOKUP(G229,'traspo ñ alterar'!$J$2:$M$500,2,FALSE),"")</f>
        <v>Clamor on line</v>
      </c>
      <c r="H230" s="60" t="str">
        <f>IFERROR(VLOOKUP(H229,'traspo ñ alterar'!$J$2:$M$500,2,FALSE),"")</f>
        <v>Alinhamento das Células</v>
      </c>
      <c r="I230" s="25"/>
      <c r="J230" s="16"/>
      <c r="K230" s="16"/>
      <c r="L230" s="16"/>
    </row>
    <row r="231" ht="15.75" customHeight="1">
      <c r="A231" s="25"/>
      <c r="B231" s="39" t="str">
        <f>IFERROR(VLOOKUP(B229,'traspo ñ alterar'!$J$2:$M$500,3,FALSE),"")</f>
        <v>Culto missionário</v>
      </c>
      <c r="C231" s="40" t="str">
        <f>IFERROR(VLOOKUP(C229,'traspo ñ alterar'!$J$2:$M$500,3,FALSE),"")</f>
        <v/>
      </c>
      <c r="D231" s="40" t="str">
        <f>IFERROR(VLOOKUP(D229,'traspo ñ alterar'!$J$2:$M$500,3,FALSE),"")</f>
        <v/>
      </c>
      <c r="E231" s="40" t="str">
        <f>IFERROR(VLOOKUP(E229,'traspo ñ alterar'!$J$2:$M$500,3,FALSE),"")</f>
        <v>Célula</v>
      </c>
      <c r="F231" s="40" t="str">
        <f>IFERROR(VLOOKUP(F229,'traspo ñ alterar'!$J$2:$M$500,3,FALSE),"")</f>
        <v/>
      </c>
      <c r="G231" s="40" t="str">
        <f>IFERROR(VLOOKUP(G229,'traspo ñ alterar'!$J$2:$M$500,3,FALSE),"")</f>
        <v>Sexta cabeceira</v>
      </c>
      <c r="H231" s="60" t="str">
        <f>IFERROR(VLOOKUP(H229,'traspo ñ alterar'!$J$2:$M$500,3,FALSE),"")</f>
        <v/>
      </c>
      <c r="I231" s="25"/>
      <c r="J231" s="16"/>
      <c r="K231" s="16"/>
      <c r="L231" s="16"/>
    </row>
    <row r="232" ht="15.75" customHeight="1">
      <c r="A232" s="25"/>
      <c r="B232" s="39" t="str">
        <f>IFERROR(VLOOKUP(B229,'traspo ñ alterar'!$J$2:$M$500,4,FALSE),"")</f>
        <v/>
      </c>
      <c r="C232" s="40" t="str">
        <f>IFERROR(VLOOKUP(C229,'traspo ñ alterar'!$J$2:$M$500,4,FALSE),"")</f>
        <v/>
      </c>
      <c r="D232" s="40" t="str">
        <f>IFERROR(VLOOKUP(D229,'traspo ñ alterar'!$J$2:$M$500,4,FALSE),"")</f>
        <v/>
      </c>
      <c r="E232" s="40" t="str">
        <f>IFERROR(VLOOKUP(E229,'traspo ñ alterar'!$J$2:$M$500,4,FALSE),"")</f>
        <v/>
      </c>
      <c r="F232" s="40" t="str">
        <f>IFERROR(VLOOKUP(F229,'traspo ñ alterar'!$J$2:$M$500,4,FALSE),"")</f>
        <v/>
      </c>
      <c r="G232" s="40" t="str">
        <f>IFERROR(VLOOKUP(G229,'traspo ñ alterar'!$J$2:$M$500,4,FALSE),"")</f>
        <v/>
      </c>
      <c r="H232" s="60" t="str">
        <f>IFERROR(VLOOKUP(H229,'traspo ñ alterar'!$J$2:$M$500,4,FALSE),"")</f>
        <v/>
      </c>
      <c r="I232" s="25"/>
      <c r="J232" s="16"/>
      <c r="K232" s="16"/>
      <c r="L232" s="16"/>
    </row>
    <row r="233" ht="15.75" customHeight="1">
      <c r="A233" s="53"/>
      <c r="B233" s="41" t="str">
        <f>IFERROR(VLOOKUP(B230,'traspo ñ alterar'!$J$2:$M$500,5,FALSE),"")</f>
        <v/>
      </c>
      <c r="C233" s="42"/>
      <c r="D233" s="42"/>
      <c r="E233" s="42"/>
      <c r="F233" s="42"/>
      <c r="G233" s="42"/>
      <c r="H233" s="66"/>
      <c r="I233" s="53"/>
      <c r="J233" s="16"/>
      <c r="K233" s="16"/>
      <c r="L233" s="16"/>
    </row>
    <row r="234" ht="15.75" customHeight="1">
      <c r="A234" s="25"/>
      <c r="B234" s="37" t="str">
        <f t="array" ref="B234:C234">DiasESemanas+DATE(AnoCalendário,7,1)-WEEKDAY(DATE(AnoCalendário,7,1),(InícioDaSemana="segunda-feira")+1)+36</f>
        <v>2</v>
      </c>
      <c r="C234" s="37">
        <v>46237.0</v>
      </c>
      <c r="D234" s="51" t="s">
        <v>133</v>
      </c>
      <c r="H234" s="63"/>
      <c r="I234" s="25"/>
      <c r="J234" s="16"/>
      <c r="K234" s="16"/>
      <c r="L234" s="16"/>
    </row>
    <row r="235" ht="15.75" customHeight="1">
      <c r="A235" s="25"/>
      <c r="B235" s="48" t="str">
        <f>IFERROR(VLOOKUP(B234,'traspo ñ alterar'!$J$2:$M$500,2,FALSE),"")</f>
        <v>Pais e Filhos</v>
      </c>
      <c r="C235" s="60" t="str">
        <f>IFERROR(VLOOKUP(C234,'traspo ñ alterar'!$J$2:$M$500,2,FALSE),"")</f>
        <v/>
      </c>
      <c r="D235" s="51"/>
      <c r="E235" s="51"/>
      <c r="F235" s="51"/>
      <c r="G235" s="51"/>
      <c r="H235" s="52"/>
      <c r="I235" s="25"/>
      <c r="J235" s="16"/>
      <c r="K235" s="16"/>
      <c r="L235" s="16"/>
    </row>
    <row r="236" ht="15.75" customHeight="1">
      <c r="A236" s="25"/>
      <c r="B236" s="48" t="str">
        <f>IFERROR(VLOOKUP(B234,'traspo ñ alterar'!$J$2:$M$500,3,FALSE),"")</f>
        <v>Culto em Rio Brilhante</v>
      </c>
      <c r="C236" s="60" t="str">
        <f>IFERROR(VLOOKUP(C234,'traspo ñ alterar'!$J$2:$M$500,3,FALSE),"")</f>
        <v/>
      </c>
      <c r="D236" s="51"/>
      <c r="E236" s="51"/>
      <c r="F236" s="51"/>
      <c r="G236" s="51"/>
      <c r="H236" s="52"/>
      <c r="I236" s="25"/>
      <c r="J236" s="16"/>
      <c r="K236" s="16"/>
      <c r="L236" s="16"/>
    </row>
    <row r="237" ht="15.75" customHeight="1">
      <c r="A237" s="25"/>
      <c r="B237" s="48" t="str">
        <f>IFERROR(VLOOKUP(B234,'traspo ñ alterar'!$J$2:$M$500,4,FALSE),"")</f>
        <v/>
      </c>
      <c r="C237" s="60" t="str">
        <f>IFERROR(VLOOKUP(C234,'traspo ñ alterar'!$J$2:$M$500,4,FALSE),"")</f>
        <v/>
      </c>
      <c r="D237" s="51"/>
      <c r="E237" s="51"/>
      <c r="F237" s="51"/>
      <c r="G237" s="51"/>
      <c r="H237" s="52"/>
      <c r="I237" s="25"/>
      <c r="J237" s="16"/>
      <c r="K237" s="16"/>
      <c r="L237" s="16"/>
    </row>
    <row r="238" ht="15.75" customHeight="1">
      <c r="A238" s="53"/>
      <c r="B238" s="70" t="str">
        <f>IFERROR(VLOOKUP(B235,'traspo ñ alterar'!$J$2:$M$500,5,FALSE),"")</f>
        <v/>
      </c>
      <c r="C238" s="64"/>
      <c r="D238" s="68"/>
      <c r="E238" s="57"/>
      <c r="F238" s="57"/>
      <c r="G238" s="57"/>
      <c r="H238" s="58"/>
      <c r="I238" s="53"/>
      <c r="J238" s="16"/>
      <c r="K238" s="16"/>
      <c r="L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 t="s">
        <v>128</v>
      </c>
      <c r="J240" s="16"/>
      <c r="K240" s="16"/>
      <c r="L240" s="16"/>
    </row>
    <row r="241" ht="15.75" customHeight="1">
      <c r="A241" s="16"/>
      <c r="B241" s="17" t="str">
        <f>"Agosto "&amp;AnoCalendário</f>
        <v>Agosto 2026</v>
      </c>
      <c r="E241" s="18"/>
      <c r="F241" s="18"/>
      <c r="G241" s="18"/>
      <c r="H241" s="19"/>
      <c r="I241" s="16"/>
      <c r="J241" s="16"/>
      <c r="K241" s="16"/>
      <c r="L241" s="16"/>
    </row>
    <row r="242" ht="15.75" customHeight="1">
      <c r="A242" s="20"/>
      <c r="B242" s="22" t="str">
        <f>InícioDaSemana</f>
        <v>domingo</v>
      </c>
      <c r="C242" s="22" t="str">
        <f t="shared" ref="C242:H242" si="8">TEXT(C243,"dddd")</f>
        <v>Monday</v>
      </c>
      <c r="D242" s="22" t="str">
        <f t="shared" si="8"/>
        <v>Tuesday</v>
      </c>
      <c r="E242" s="22" t="str">
        <f t="shared" si="8"/>
        <v>Wednesday</v>
      </c>
      <c r="F242" s="22" t="str">
        <f t="shared" si="8"/>
        <v>Thursday</v>
      </c>
      <c r="G242" s="22" t="str">
        <f t="shared" si="8"/>
        <v>Friday</v>
      </c>
      <c r="H242" s="22" t="str">
        <f t="shared" si="8"/>
        <v>Saturday</v>
      </c>
      <c r="I242" s="20"/>
      <c r="J242" s="16"/>
      <c r="K242" s="16"/>
      <c r="L242" s="16"/>
    </row>
    <row r="243" ht="15.75" customHeight="1">
      <c r="A243" s="25"/>
      <c r="B243" s="27" t="str">
        <f t="array" ref="B243:H243">DiasESemanas+DATE(AnoCalendário,8,1)-WEEKDAY(DATE(AnoCalendário,8,1),(InícioDaSemana="segunda-feira")+1)+1</f>
        <v>26</v>
      </c>
      <c r="C243" s="27">
        <v>46230.0</v>
      </c>
      <c r="D243" s="27">
        <v>46231.0</v>
      </c>
      <c r="E243" s="27">
        <v>46232.0</v>
      </c>
      <c r="F243" s="27">
        <v>46233.0</v>
      </c>
      <c r="G243" s="27">
        <v>46234.0</v>
      </c>
      <c r="H243" s="27">
        <v>46235.0</v>
      </c>
      <c r="I243" s="25"/>
      <c r="J243" s="16"/>
      <c r="K243" s="16"/>
      <c r="L243" s="16"/>
    </row>
    <row r="244" ht="15.75" customHeight="1">
      <c r="A244" s="25"/>
      <c r="B244" s="48" t="str">
        <f>IFERROR(VLOOKUP(B243,'traspo ñ alterar'!$J$2:$M$500,2,FALSE),"")</f>
        <v>Conferência de homens</v>
      </c>
      <c r="C244" s="60" t="str">
        <f>IFERROR(VLOOKUP(C243,'traspo ñ alterar'!$J$2:$M$500,2,FALSE),"")</f>
        <v>Clamor on line</v>
      </c>
      <c r="D244" s="60" t="str">
        <f>IFERROR(VLOOKUP(D243,'traspo ñ alterar'!$J$2:$M$500,2,FALSE),"")</f>
        <v>Clamor on line</v>
      </c>
      <c r="E244" s="60" t="str">
        <f>IFERROR(VLOOKUP(E243,'traspo ñ alterar'!$J$2:$M$500,2,FALSE),"")</f>
        <v>Clamor on line</v>
      </c>
      <c r="F244" s="60" t="str">
        <f>IFERROR(VLOOKUP(F243,'traspo ñ alterar'!$J$2:$M$500,2,FALSE),"")</f>
        <v>Clamor on line</v>
      </c>
      <c r="G244" s="60" t="str">
        <f>IFERROR(VLOOKUP(G243,'traspo ñ alterar'!$J$2:$M$500,2,FALSE),"")</f>
        <v>Clamor on line</v>
      </c>
      <c r="H244" s="40" t="str">
        <f>IFERROR(VLOOKUP(H243,'traspo ñ alterar'!$J$2:$M$500,2,FALSE),"")</f>
        <v>Alinhamento das Células</v>
      </c>
      <c r="I244" s="25"/>
      <c r="J244" s="16"/>
      <c r="K244" s="16"/>
      <c r="L244" s="16"/>
    </row>
    <row r="245" ht="15.75" customHeight="1">
      <c r="A245" s="25"/>
      <c r="B245" s="48" t="str">
        <f>IFERROR(VLOOKUP(B243,'traspo ñ alterar'!$J$2:$M$500,3,FALSE),"")</f>
        <v>Culto missionário</v>
      </c>
      <c r="C245" s="60" t="str">
        <f>IFERROR(VLOOKUP(C243,'traspo ñ alterar'!$J$2:$M$500,3,FALSE),"")</f>
        <v/>
      </c>
      <c r="D245" s="60" t="str">
        <f>IFERROR(VLOOKUP(D243,'traspo ñ alterar'!$J$2:$M$500,3,FALSE),"")</f>
        <v/>
      </c>
      <c r="E245" s="60" t="str">
        <f>IFERROR(VLOOKUP(E243,'traspo ñ alterar'!$J$2:$M$500,3,FALSE),"")</f>
        <v>Célula</v>
      </c>
      <c r="F245" s="60" t="str">
        <f>IFERROR(VLOOKUP(F243,'traspo ñ alterar'!$J$2:$M$500,3,FALSE),"")</f>
        <v/>
      </c>
      <c r="G245" s="60" t="str">
        <f>IFERROR(VLOOKUP(G243,'traspo ñ alterar'!$J$2:$M$500,3,FALSE),"")</f>
        <v>Sexta cabeceira</v>
      </c>
      <c r="H245" s="40" t="str">
        <f>IFERROR(VLOOKUP(H243,'traspo ñ alterar'!$J$2:$M$500,3,FALSE),"")</f>
        <v/>
      </c>
      <c r="I245" s="25"/>
      <c r="J245" s="16"/>
      <c r="K245" s="16"/>
      <c r="L245" s="16"/>
    </row>
    <row r="246" ht="15.75" customHeight="1">
      <c r="A246" s="25"/>
      <c r="B246" s="48" t="str">
        <f>IFERROR(VLOOKUP(B243,'traspo ñ alterar'!$J$2:$M$500,4,FALSE),"")</f>
        <v/>
      </c>
      <c r="C246" s="60" t="str">
        <f>IFERROR(VLOOKUP(C243,'traspo ñ alterar'!$J$2:$M$500,4,FALSE),"")</f>
        <v/>
      </c>
      <c r="D246" s="60" t="str">
        <f>IFERROR(VLOOKUP(D243,'traspo ñ alterar'!$J$2:$M$500,4,FALSE),"")</f>
        <v/>
      </c>
      <c r="E246" s="60" t="str">
        <f>IFERROR(VLOOKUP(E243,'traspo ñ alterar'!$J$2:$M$500,4,FALSE),"")</f>
        <v/>
      </c>
      <c r="F246" s="60" t="str">
        <f>IFERROR(VLOOKUP(F243,'traspo ñ alterar'!$J$2:$M$500,4,FALSE),"")</f>
        <v/>
      </c>
      <c r="G246" s="60" t="str">
        <f>IFERROR(VLOOKUP(G243,'traspo ñ alterar'!$J$2:$M$500,4,FALSE),"")</f>
        <v/>
      </c>
      <c r="H246" s="40" t="str">
        <f>IFERROR(VLOOKUP(H243,'traspo ñ alterar'!$J$2:$M$500,4,FALSE),"")</f>
        <v/>
      </c>
      <c r="I246" s="25"/>
      <c r="J246" s="16"/>
      <c r="K246" s="16"/>
      <c r="L246" s="16"/>
    </row>
    <row r="247" ht="15.75" customHeight="1">
      <c r="A247" s="53"/>
      <c r="B247" s="69" t="str">
        <f>IFERROR(VLOOKUP(B244,'traspo ñ alterar'!$J$2:$M$500,5,FALSE),"")</f>
        <v/>
      </c>
      <c r="C247" s="66"/>
      <c r="D247" s="66"/>
      <c r="E247" s="66"/>
      <c r="F247" s="66"/>
      <c r="G247" s="66"/>
      <c r="H247" s="42"/>
      <c r="I247" s="53"/>
      <c r="J247" s="16"/>
      <c r="K247" s="16"/>
      <c r="L247" s="16"/>
    </row>
    <row r="248" ht="15.75" customHeight="1">
      <c r="A248" s="25"/>
      <c r="B248" s="37" t="str">
        <f t="array" ref="B248:H248">DiasESemanas+DATE(AnoCalendário,8,1)-WEEKDAY(DATE(AnoCalendário,8,1),(InícioDaSemana="segunda-feira")+1)+8</f>
        <v>2</v>
      </c>
      <c r="C248" s="37">
        <v>46237.0</v>
      </c>
      <c r="D248" s="37">
        <v>46238.0</v>
      </c>
      <c r="E248" s="37">
        <v>46239.0</v>
      </c>
      <c r="F248" s="37">
        <v>46240.0</v>
      </c>
      <c r="G248" s="37">
        <v>46241.0</v>
      </c>
      <c r="H248" s="37">
        <v>46242.0</v>
      </c>
      <c r="I248" s="25"/>
      <c r="J248" s="16"/>
      <c r="K248" s="16"/>
      <c r="L248" s="16"/>
    </row>
    <row r="249" ht="15.75" customHeight="1">
      <c r="A249" s="25"/>
      <c r="B249" s="39" t="str">
        <f>IFERROR(VLOOKUP(B248,'traspo ñ alterar'!$J$2:$M$500,2,FALSE),"")</f>
        <v>Pais e Filhos</v>
      </c>
      <c r="C249" s="40" t="str">
        <f>IFERROR(VLOOKUP(C248,'traspo ñ alterar'!$J$2:$M$500,2,FALSE),"")</f>
        <v/>
      </c>
      <c r="D249" s="40" t="str">
        <f>IFERROR(VLOOKUP(D248,'traspo ñ alterar'!$J$2:$M$500,2,FALSE),"")</f>
        <v/>
      </c>
      <c r="E249" s="40" t="str">
        <f>IFERROR(VLOOKUP(E248,'traspo ñ alterar'!$J$2:$M$500,2,FALSE),"")</f>
        <v>Célula</v>
      </c>
      <c r="F249" s="40" t="str">
        <f>IFERROR(VLOOKUP(F248,'traspo ñ alterar'!$J$2:$M$500,2,FALSE),"")</f>
        <v/>
      </c>
      <c r="G249" s="40" t="str">
        <f>IFERROR(VLOOKUP(G248,'traspo ñ alterar'!$J$2:$M$500,2,FALSE),"")</f>
        <v>Vigília</v>
      </c>
      <c r="H249" s="40" t="str">
        <f>IFERROR(VLOOKUP(H248,'traspo ñ alterar'!$J$2:$M$500,2,FALSE),"")</f>
        <v>Formatura/EBD</v>
      </c>
      <c r="I249" s="25"/>
      <c r="J249" s="16"/>
      <c r="K249" s="16"/>
      <c r="L249" s="16"/>
    </row>
    <row r="250" ht="15.75" customHeight="1">
      <c r="A250" s="25"/>
      <c r="B250" s="39" t="str">
        <f>IFERROR(VLOOKUP(B248,'traspo ñ alterar'!$J$2:$M$500,3,FALSE),"")</f>
        <v>Culto em Rio Brilhante</v>
      </c>
      <c r="C250" s="40" t="str">
        <f>IFERROR(VLOOKUP(C248,'traspo ñ alterar'!$J$2:$M$500,3,FALSE),"")</f>
        <v/>
      </c>
      <c r="D250" s="40" t="str">
        <f>IFERROR(VLOOKUP(D248,'traspo ñ alterar'!$J$2:$M$500,3,FALSE),"")</f>
        <v/>
      </c>
      <c r="E250" s="40" t="str">
        <f>IFERROR(VLOOKUP(E248,'traspo ñ alterar'!$J$2:$M$500,3,FALSE),"")</f>
        <v/>
      </c>
      <c r="F250" s="40" t="str">
        <f>IFERROR(VLOOKUP(F248,'traspo ñ alterar'!$J$2:$M$500,3,FALSE),"")</f>
        <v/>
      </c>
      <c r="G250" s="40" t="str">
        <f>IFERROR(VLOOKUP(G248,'traspo ñ alterar'!$J$2:$M$500,3,FALSE),"")</f>
        <v>Sexta cabeceira</v>
      </c>
      <c r="H250" s="40" t="str">
        <f>IFERROR(VLOOKUP(H248,'traspo ñ alterar'!$J$2:$M$500,3,FALSE),"")</f>
        <v>Relogio de oração</v>
      </c>
      <c r="I250" s="25"/>
      <c r="J250" s="16"/>
      <c r="K250" s="16"/>
      <c r="L250" s="16"/>
    </row>
    <row r="251" ht="15.75" customHeight="1">
      <c r="A251" s="25"/>
      <c r="B251" s="39" t="str">
        <f>IFERROR(VLOOKUP(B248,'traspo ñ alterar'!$J$2:$M$500,4,FALSE),"")</f>
        <v/>
      </c>
      <c r="C251" s="40" t="str">
        <f>IFERROR(VLOOKUP(C248,'traspo ñ alterar'!$J$2:$M$500,4,FALSE),"")</f>
        <v/>
      </c>
      <c r="D251" s="40" t="str">
        <f>IFERROR(VLOOKUP(D248,'traspo ñ alterar'!$J$2:$M$500,4,FALSE),"")</f>
        <v/>
      </c>
      <c r="E251" s="40" t="str">
        <f>IFERROR(VLOOKUP(E248,'traspo ñ alterar'!$J$2:$M$500,4,FALSE),"")</f>
        <v/>
      </c>
      <c r="F251" s="40" t="str">
        <f>IFERROR(VLOOKUP(F248,'traspo ñ alterar'!$J$2:$M$500,4,FALSE),"")</f>
        <v/>
      </c>
      <c r="G251" s="40" t="str">
        <f>IFERROR(VLOOKUP(G248,'traspo ñ alterar'!$J$2:$M$500,4,FALSE),"")</f>
        <v/>
      </c>
      <c r="H251" s="40" t="str">
        <f>IFERROR(VLOOKUP(H248,'traspo ñ alterar'!$J$2:$M$500,4,FALSE),"")</f>
        <v/>
      </c>
      <c r="I251" s="25"/>
      <c r="J251" s="16"/>
      <c r="K251" s="16"/>
      <c r="L251" s="16"/>
    </row>
    <row r="252" ht="15.75" customHeight="1">
      <c r="A252" s="53"/>
      <c r="B252" s="41" t="str">
        <f>IFERROR(VLOOKUP(B249,'traspo ñ alterar'!$J$2:$M$500,5,FALSE),"")</f>
        <v/>
      </c>
      <c r="C252" s="42"/>
      <c r="D252" s="42"/>
      <c r="E252" s="42"/>
      <c r="F252" s="42"/>
      <c r="G252" s="42"/>
      <c r="H252" s="42"/>
      <c r="I252" s="53"/>
      <c r="J252" s="16"/>
      <c r="K252" s="16"/>
      <c r="L252" s="16"/>
    </row>
    <row r="253" ht="15.75" customHeight="1">
      <c r="A253" s="25"/>
      <c r="B253" s="37" t="str">
        <f t="array" ref="B253:H253">DiasESemanas+DATE(AnoCalendário,8,1)-WEEKDAY(DATE(AnoCalendário,8,1),(InícioDaSemana="segunda-feira")+1)+15</f>
        <v>9</v>
      </c>
      <c r="C253" s="37">
        <v>46244.0</v>
      </c>
      <c r="D253" s="37">
        <v>46245.0</v>
      </c>
      <c r="E253" s="37">
        <v>46246.0</v>
      </c>
      <c r="F253" s="37">
        <v>46247.0</v>
      </c>
      <c r="G253" s="37">
        <v>46248.0</v>
      </c>
      <c r="H253" s="37">
        <v>46249.0</v>
      </c>
      <c r="I253" s="25"/>
      <c r="J253" s="16"/>
      <c r="K253" s="16"/>
      <c r="L253" s="16"/>
    </row>
    <row r="254" ht="15.75" customHeight="1">
      <c r="A254" s="25"/>
      <c r="B254" s="39" t="str">
        <f>IFERROR(VLOOKUP(B253,'traspo ñ alterar'!$J$2:$M$500,2,FALSE),"")</f>
        <v>Jantar para os Pais</v>
      </c>
      <c r="C254" s="40" t="str">
        <f>IFERROR(VLOOKUP(C253,'traspo ñ alterar'!$J$2:$M$500,2,FALSE),"")</f>
        <v/>
      </c>
      <c r="D254" s="40" t="str">
        <f>IFERROR(VLOOKUP(D253,'traspo ñ alterar'!$J$2:$M$500,2,FALSE),"")</f>
        <v/>
      </c>
      <c r="E254" s="40" t="str">
        <f>IFERROR(VLOOKUP(E253,'traspo ñ alterar'!$J$2:$M$500,2,FALSE),"")</f>
        <v>Célula</v>
      </c>
      <c r="F254" s="40" t="str">
        <f>IFERROR(VLOOKUP(F253,'traspo ñ alterar'!$J$2:$M$500,2,FALSE),"")</f>
        <v>Momento evangelistico</v>
      </c>
      <c r="G254" s="40" t="str">
        <f>IFERROR(VLOOKUP(G253,'traspo ñ alterar'!$J$2:$M$500,2,FALSE),"")</f>
        <v>Sexta cabeceira</v>
      </c>
      <c r="H254" s="40" t="str">
        <f>IFERROR(VLOOKUP(H253,'traspo ñ alterar'!$J$2:$M$500,2,FALSE),"")</f>
        <v>Conferência de intercessão</v>
      </c>
      <c r="I254" s="25"/>
      <c r="J254" s="16"/>
      <c r="K254" s="16"/>
      <c r="L254" s="16"/>
    </row>
    <row r="255" ht="15.75" customHeight="1">
      <c r="A255" s="25"/>
      <c r="B255" s="39" t="str">
        <f>IFERROR(VLOOKUP(B253,'traspo ñ alterar'!$J$2:$M$500,3,FALSE),"")</f>
        <v/>
      </c>
      <c r="C255" s="40" t="str">
        <f>IFERROR(VLOOKUP(C253,'traspo ñ alterar'!$J$2:$M$500,3,FALSE),"")</f>
        <v/>
      </c>
      <c r="D255" s="40" t="str">
        <f>IFERROR(VLOOKUP(D253,'traspo ñ alterar'!$J$2:$M$500,3,FALSE),"")</f>
        <v/>
      </c>
      <c r="E255" s="40" t="str">
        <f>IFERROR(VLOOKUP(E253,'traspo ñ alterar'!$J$2:$M$500,3,FALSE),"")</f>
        <v/>
      </c>
      <c r="F255" s="40" t="str">
        <f>IFERROR(VLOOKUP(F253,'traspo ñ alterar'!$J$2:$M$500,3,FALSE),"")</f>
        <v/>
      </c>
      <c r="G255" s="40" t="str">
        <f>IFERROR(VLOOKUP(G253,'traspo ñ alterar'!$J$2:$M$500,3,FALSE),"")</f>
        <v/>
      </c>
      <c r="H255" s="40" t="str">
        <f>IFERROR(VLOOKUP(H253,'traspo ñ alterar'!$J$2:$M$500,3,FALSE),"")</f>
        <v/>
      </c>
      <c r="I255" s="25"/>
      <c r="J255" s="16"/>
      <c r="K255" s="16"/>
      <c r="L255" s="16"/>
    </row>
    <row r="256" ht="15.75" customHeight="1">
      <c r="A256" s="25"/>
      <c r="B256" s="39" t="str">
        <f>IFERROR(VLOOKUP(B253,'traspo ñ alterar'!$J$2:$M$500,4,FALSE),"")</f>
        <v/>
      </c>
      <c r="C256" s="40" t="str">
        <f>IFERROR(VLOOKUP(C253,'traspo ñ alterar'!$J$2:$M$500,4,FALSE),"")</f>
        <v/>
      </c>
      <c r="D256" s="40" t="str">
        <f>IFERROR(VLOOKUP(D253,'traspo ñ alterar'!$J$2:$M$500,4,FALSE),"")</f>
        <v/>
      </c>
      <c r="E256" s="40" t="str">
        <f>IFERROR(VLOOKUP(E253,'traspo ñ alterar'!$J$2:$M$500,4,FALSE),"")</f>
        <v/>
      </c>
      <c r="F256" s="40" t="str">
        <f>IFERROR(VLOOKUP(F253,'traspo ñ alterar'!$J$2:$M$500,4,FALSE),"")</f>
        <v/>
      </c>
      <c r="G256" s="40" t="str">
        <f>IFERROR(VLOOKUP(G253,'traspo ñ alterar'!$J$2:$M$500,4,FALSE),"")</f>
        <v/>
      </c>
      <c r="H256" s="40" t="str">
        <f>IFERROR(VLOOKUP(H253,'traspo ñ alterar'!$J$2:$M$500,4,FALSE),"")</f>
        <v/>
      </c>
      <c r="I256" s="25"/>
      <c r="J256" s="16"/>
      <c r="K256" s="16"/>
      <c r="L256" s="16"/>
    </row>
    <row r="257" ht="15.75" customHeight="1">
      <c r="A257" s="53"/>
      <c r="B257" s="41" t="str">
        <f>IFERROR(VLOOKUP(B254,'traspo ñ alterar'!$J$2:$M$500,5,FALSE),"")</f>
        <v/>
      </c>
      <c r="C257" s="42"/>
      <c r="D257" s="42"/>
      <c r="E257" s="42"/>
      <c r="F257" s="42"/>
      <c r="G257" s="42"/>
      <c r="H257" s="42"/>
      <c r="I257" s="53"/>
      <c r="J257" s="16"/>
      <c r="K257" s="16"/>
      <c r="L257" s="16"/>
    </row>
    <row r="258" ht="15.75" customHeight="1">
      <c r="A258" s="25"/>
      <c r="B258" s="37" t="str">
        <f t="array" ref="B258:H258">DiasESemanas+DATE(AnoCalendário,8,1)-WEEKDAY(DATE(AnoCalendário,8,1),(InícioDaSemana="segunda-feira")+1)+22</f>
        <v>16</v>
      </c>
      <c r="C258" s="37">
        <v>46251.0</v>
      </c>
      <c r="D258" s="37">
        <v>46252.0</v>
      </c>
      <c r="E258" s="37">
        <v>46253.0</v>
      </c>
      <c r="F258" s="37">
        <v>46254.0</v>
      </c>
      <c r="G258" s="37">
        <v>46255.0</v>
      </c>
      <c r="H258" s="37">
        <v>46256.0</v>
      </c>
      <c r="I258" s="25"/>
      <c r="J258" s="16"/>
      <c r="K258" s="16"/>
      <c r="L258" s="16"/>
    </row>
    <row r="259" ht="15.75" customHeight="1">
      <c r="A259" s="25"/>
      <c r="B259" s="39" t="str">
        <f>IFERROR(VLOOKUP(B258,'traspo ñ alterar'!$J$2:$M$500,2,FALSE),"")</f>
        <v>Conferência de intercessão</v>
      </c>
      <c r="C259" s="40" t="str">
        <f>IFERROR(VLOOKUP(C258,'traspo ñ alterar'!$J$2:$M$500,2,FALSE),"")</f>
        <v/>
      </c>
      <c r="D259" s="40" t="str">
        <f>IFERROR(VLOOKUP(D258,'traspo ñ alterar'!$J$2:$M$500,2,FALSE),"")</f>
        <v/>
      </c>
      <c r="E259" s="40" t="str">
        <f>IFERROR(VLOOKUP(E258,'traspo ñ alterar'!$J$2:$M$500,2,FALSE),"")</f>
        <v>Célula</v>
      </c>
      <c r="F259" s="40" t="str">
        <f>IFERROR(VLOOKUP(F258,'traspo ñ alterar'!$J$2:$M$500,2,FALSE),"")</f>
        <v>Culto de homens</v>
      </c>
      <c r="G259" s="40" t="str">
        <f>IFERROR(VLOOKUP(G258,'traspo ñ alterar'!$J$2:$M$500,2,FALSE),"")</f>
        <v>Sexta cabeceira</v>
      </c>
      <c r="H259" s="40" t="str">
        <f>IFERROR(VLOOKUP(H258,'traspo ñ alterar'!$J$2:$M$500,2,FALSE),"")</f>
        <v>Inteensos - metogames</v>
      </c>
      <c r="I259" s="25"/>
      <c r="J259" s="16"/>
      <c r="K259" s="16"/>
      <c r="L259" s="16"/>
    </row>
    <row r="260" ht="15.75" customHeight="1">
      <c r="A260" s="25"/>
      <c r="B260" s="39" t="str">
        <f>IFERROR(VLOOKUP(B258,'traspo ñ alterar'!$J$2:$M$500,3,FALSE),"")</f>
        <v>Cantina prol GE</v>
      </c>
      <c r="C260" s="40" t="str">
        <f>IFERROR(VLOOKUP(C258,'traspo ñ alterar'!$J$2:$M$500,3,FALSE),"")</f>
        <v/>
      </c>
      <c r="D260" s="40" t="str">
        <f>IFERROR(VLOOKUP(D258,'traspo ñ alterar'!$J$2:$M$500,3,FALSE),"")</f>
        <v/>
      </c>
      <c r="E260" s="40" t="str">
        <f>IFERROR(VLOOKUP(E258,'traspo ñ alterar'!$J$2:$M$500,3,FALSE),"")</f>
        <v/>
      </c>
      <c r="F260" s="40" t="str">
        <f>IFERROR(VLOOKUP(F258,'traspo ñ alterar'!$J$2:$M$500,3,FALSE),"")</f>
        <v/>
      </c>
      <c r="G260" s="40" t="str">
        <f>IFERROR(VLOOKUP(G258,'traspo ñ alterar'!$J$2:$M$500,3,FALSE),"")</f>
        <v/>
      </c>
      <c r="H260" s="40" t="str">
        <f>IFERROR(VLOOKUP(H258,'traspo ñ alterar'!$J$2:$M$500,3,FALSE),"")</f>
        <v/>
      </c>
      <c r="I260" s="25"/>
      <c r="J260" s="16"/>
      <c r="K260" s="16"/>
      <c r="L260" s="16"/>
    </row>
    <row r="261" ht="15.75" customHeight="1">
      <c r="A261" s="25"/>
      <c r="B261" s="39" t="str">
        <f>IFERROR(VLOOKUP(B258,'traspo ñ alterar'!$J$2:$M$500,4,FALSE),"")</f>
        <v/>
      </c>
      <c r="C261" s="40" t="str">
        <f>IFERROR(VLOOKUP(C258,'traspo ñ alterar'!$J$2:$M$500,4,FALSE),"")</f>
        <v/>
      </c>
      <c r="D261" s="40" t="str">
        <f>IFERROR(VLOOKUP(D258,'traspo ñ alterar'!$J$2:$M$500,4,FALSE),"")</f>
        <v/>
      </c>
      <c r="E261" s="40" t="str">
        <f>IFERROR(VLOOKUP(E258,'traspo ñ alterar'!$J$2:$M$500,4,FALSE),"")</f>
        <v/>
      </c>
      <c r="F261" s="40" t="str">
        <f>IFERROR(VLOOKUP(F258,'traspo ñ alterar'!$J$2:$M$500,4,FALSE),"")</f>
        <v/>
      </c>
      <c r="G261" s="40" t="str">
        <f>IFERROR(VLOOKUP(G258,'traspo ñ alterar'!$J$2:$M$500,4,FALSE),"")</f>
        <v/>
      </c>
      <c r="H261" s="40" t="str">
        <f>IFERROR(VLOOKUP(H258,'traspo ñ alterar'!$J$2:$M$500,4,FALSE),"")</f>
        <v/>
      </c>
      <c r="I261" s="25"/>
      <c r="J261" s="16"/>
      <c r="K261" s="16"/>
      <c r="L261" s="16"/>
    </row>
    <row r="262" ht="15.75" customHeight="1">
      <c r="A262" s="53"/>
      <c r="B262" s="41" t="str">
        <f>IFERROR(VLOOKUP(B259,'traspo ñ alterar'!$J$2:$M$500,5,FALSE),"")</f>
        <v/>
      </c>
      <c r="C262" s="42"/>
      <c r="D262" s="42"/>
      <c r="E262" s="42"/>
      <c r="F262" s="42"/>
      <c r="G262" s="42"/>
      <c r="H262" s="42"/>
      <c r="I262" s="53"/>
      <c r="J262" s="16"/>
      <c r="K262" s="16"/>
      <c r="L262" s="16"/>
    </row>
    <row r="263" ht="15.75" customHeight="1">
      <c r="A263" s="25"/>
      <c r="B263" s="37" t="str">
        <f t="array" ref="B263:H263">DiasESemanas+DATE(AnoCalendário,8,1)-WEEKDAY(DATE(AnoCalendário,8,1),(InícioDaSemana="segunda-feira")+1)+29</f>
        <v>23</v>
      </c>
      <c r="C263" s="37">
        <v>46258.0</v>
      </c>
      <c r="D263" s="37">
        <v>46259.0</v>
      </c>
      <c r="E263" s="37">
        <v>46260.0</v>
      </c>
      <c r="F263" s="37">
        <v>46261.0</v>
      </c>
      <c r="G263" s="37">
        <v>46262.0</v>
      </c>
      <c r="H263" s="37">
        <v>46263.0</v>
      </c>
      <c r="I263" s="25"/>
      <c r="J263" s="16"/>
      <c r="K263" s="16"/>
      <c r="L263" s="16"/>
    </row>
    <row r="264" ht="15.75" customHeight="1">
      <c r="A264" s="25"/>
      <c r="B264" s="39" t="str">
        <f>IFERROR(VLOOKUP(B263,'traspo ñ alterar'!$J$2:$M$500,2,FALSE),"")</f>
        <v>Culto missionário</v>
      </c>
      <c r="C264" s="40" t="str">
        <f>IFERROR(VLOOKUP(C263,'traspo ñ alterar'!$J$2:$M$500,2,FALSE),"")</f>
        <v>Clamor on line</v>
      </c>
      <c r="D264" s="40" t="str">
        <f>IFERROR(VLOOKUP(D263,'traspo ñ alterar'!$J$2:$M$500,2,FALSE),"")</f>
        <v>Clamor on line</v>
      </c>
      <c r="E264" s="40" t="str">
        <f>IFERROR(VLOOKUP(E263,'traspo ñ alterar'!$J$2:$M$500,2,FALSE),"")</f>
        <v>Célula</v>
      </c>
      <c r="F264" s="40" t="str">
        <f>IFERROR(VLOOKUP(F263,'traspo ñ alterar'!$J$2:$M$500,2,FALSE),"")</f>
        <v>Clamor on line</v>
      </c>
      <c r="G264" s="40" t="str">
        <f>IFERROR(VLOOKUP(G263,'traspo ñ alterar'!$J$2:$M$500,2,FALSE),"")</f>
        <v>Sexta cabeceira</v>
      </c>
      <c r="H264" s="40" t="str">
        <f>IFERROR(VLOOKUP(H263,'traspo ñ alterar'!$J$2:$M$500,2,FALSE),"")</f>
        <v>Metogames</v>
      </c>
      <c r="I264" s="25"/>
      <c r="J264" s="16"/>
      <c r="K264" s="16"/>
      <c r="L264" s="16"/>
    </row>
    <row r="265" ht="15.75" customHeight="1">
      <c r="A265" s="25"/>
      <c r="B265" s="39" t="str">
        <f>IFERROR(VLOOKUP(B263,'traspo ñ alterar'!$J$2:$M$500,3,FALSE),"")</f>
        <v/>
      </c>
      <c r="C265" s="40" t="str">
        <f>IFERROR(VLOOKUP(C263,'traspo ñ alterar'!$J$2:$M$500,3,FALSE),"")</f>
        <v/>
      </c>
      <c r="D265" s="40" t="str">
        <f>IFERROR(VLOOKUP(D263,'traspo ñ alterar'!$J$2:$M$500,3,FALSE),"")</f>
        <v/>
      </c>
      <c r="E265" s="40" t="str">
        <f>IFERROR(VLOOKUP(E263,'traspo ñ alterar'!$J$2:$M$500,3,FALSE),"")</f>
        <v>Clamor on line</v>
      </c>
      <c r="F265" s="40" t="str">
        <f>IFERROR(VLOOKUP(F263,'traspo ñ alterar'!$J$2:$M$500,3,FALSE),"")</f>
        <v/>
      </c>
      <c r="G265" s="40" t="str">
        <f>IFERROR(VLOOKUP(G263,'traspo ñ alterar'!$J$2:$M$500,3,FALSE),"")</f>
        <v>Clamor on line</v>
      </c>
      <c r="H265" s="40" t="str">
        <f>IFERROR(VLOOKUP(H263,'traspo ñ alterar'!$J$2:$M$500,3,FALSE),"")</f>
        <v/>
      </c>
      <c r="I265" s="25"/>
      <c r="J265" s="16"/>
      <c r="K265" s="16"/>
      <c r="L265" s="16"/>
    </row>
    <row r="266" ht="15.75" customHeight="1">
      <c r="A266" s="25"/>
      <c r="B266" s="39" t="str">
        <f>IFERROR(VLOOKUP(B263,'traspo ñ alterar'!$J$2:$M$500,4,FALSE),"")</f>
        <v/>
      </c>
      <c r="C266" s="40" t="str">
        <f>IFERROR(VLOOKUP(C263,'traspo ñ alterar'!$J$2:$M$500,4,FALSE),"")</f>
        <v/>
      </c>
      <c r="D266" s="40" t="str">
        <f>IFERROR(VLOOKUP(D263,'traspo ñ alterar'!$J$2:$M$500,4,FALSE),"")</f>
        <v/>
      </c>
      <c r="E266" s="40" t="str">
        <f>IFERROR(VLOOKUP(E263,'traspo ñ alterar'!$J$2:$M$500,4,FALSE),"")</f>
        <v/>
      </c>
      <c r="F266" s="40" t="str">
        <f>IFERROR(VLOOKUP(F263,'traspo ñ alterar'!$J$2:$M$500,4,FALSE),"")</f>
        <v/>
      </c>
      <c r="G266" s="40" t="str">
        <f>IFERROR(VLOOKUP(G263,'traspo ñ alterar'!$J$2:$M$500,4,FALSE),"")</f>
        <v/>
      </c>
      <c r="H266" s="40" t="str">
        <f>IFERROR(VLOOKUP(H263,'traspo ñ alterar'!$J$2:$M$500,4,FALSE),"")</f>
        <v/>
      </c>
      <c r="I266" s="25"/>
      <c r="J266" s="16"/>
      <c r="K266" s="16"/>
      <c r="L266" s="16"/>
    </row>
    <row r="267" ht="15.75" customHeight="1">
      <c r="A267" s="53"/>
      <c r="B267" s="41" t="str">
        <f>IFERROR(VLOOKUP(B264,'traspo ñ alterar'!$J$2:$M$500,5,FALSE),"")</f>
        <v/>
      </c>
      <c r="C267" s="42"/>
      <c r="D267" s="42"/>
      <c r="E267" s="42"/>
      <c r="F267" s="42"/>
      <c r="G267" s="42"/>
      <c r="H267" s="42"/>
      <c r="I267" s="53"/>
      <c r="J267" s="16"/>
      <c r="K267" s="16"/>
      <c r="L267" s="16"/>
    </row>
    <row r="268" ht="15.75" customHeight="1">
      <c r="A268" s="25"/>
      <c r="B268" s="37" t="str">
        <f t="array" ref="B268:C268">DiasESemanas+DATE(AnoCalendário,8,1)-WEEKDAY(DATE(AnoCalendário,8,1),(InícioDaSemana="segunda-feira")+1)+36</f>
        <v>30</v>
      </c>
      <c r="C268" s="37">
        <v>46265.0</v>
      </c>
      <c r="D268" s="67" t="s">
        <v>133</v>
      </c>
      <c r="E268" s="46"/>
      <c r="F268" s="46"/>
      <c r="G268" s="46"/>
      <c r="H268" s="47"/>
      <c r="I268" s="25"/>
      <c r="J268" s="16"/>
      <c r="K268" s="16"/>
      <c r="L268" s="16"/>
    </row>
    <row r="269" ht="15.75" customHeight="1">
      <c r="A269" s="25"/>
      <c r="B269" s="39" t="str">
        <f>IFERROR(VLOOKUP(B268,'traspo ñ alterar'!$J$2:$M$500,2,FALSE),"")</f>
        <v>Concílio Local 1 - Eleição Episcopal</v>
      </c>
      <c r="C269" s="40" t="str">
        <f>IFERROR(VLOOKUP(C268,'traspo ñ alterar'!$J$2:$M$500,2,FALSE),"")</f>
        <v/>
      </c>
      <c r="D269" s="51"/>
      <c r="E269" s="51"/>
      <c r="F269" s="51"/>
      <c r="G269" s="51"/>
      <c r="H269" s="52"/>
      <c r="I269" s="25"/>
      <c r="J269" s="16"/>
      <c r="K269" s="16"/>
      <c r="L269" s="16"/>
    </row>
    <row r="270" ht="15.75" customHeight="1">
      <c r="A270" s="25"/>
      <c r="B270" s="39" t="str">
        <f>IFERROR(VLOOKUP(B268,'traspo ñ alterar'!$J$2:$M$500,3,FALSE),"")</f>
        <v/>
      </c>
      <c r="C270" s="40" t="str">
        <f>IFERROR(VLOOKUP(C268,'traspo ñ alterar'!$J$2:$M$500,3,FALSE),"")</f>
        <v/>
      </c>
      <c r="D270" s="51"/>
      <c r="E270" s="51"/>
      <c r="F270" s="51"/>
      <c r="G270" s="51"/>
      <c r="H270" s="52"/>
      <c r="I270" s="25"/>
      <c r="J270" s="16"/>
      <c r="K270" s="16"/>
      <c r="L270" s="16"/>
    </row>
    <row r="271" ht="15.75" customHeight="1">
      <c r="A271" s="25"/>
      <c r="B271" s="39" t="str">
        <f>IFERROR(VLOOKUP(B268,'traspo ñ alterar'!$J$2:$M$500,4,FALSE),"")</f>
        <v/>
      </c>
      <c r="C271" s="40" t="str">
        <f>IFERROR(VLOOKUP(C268,'traspo ñ alterar'!$J$2:$M$500,4,FALSE),"")</f>
        <v/>
      </c>
      <c r="D271" s="51"/>
      <c r="E271" s="51"/>
      <c r="F271" s="51"/>
      <c r="G271" s="51"/>
      <c r="H271" s="52"/>
      <c r="I271" s="25"/>
      <c r="J271" s="16"/>
      <c r="K271" s="16"/>
      <c r="L271" s="16"/>
    </row>
    <row r="272" ht="15.75" customHeight="1">
      <c r="A272" s="53"/>
      <c r="B272" s="56" t="str">
        <f>IFERROR(VLOOKUP(B269,'traspo ñ alterar'!$J$2:$M$500,5,FALSE),"")</f>
        <v/>
      </c>
      <c r="C272" s="72"/>
      <c r="D272" s="68"/>
      <c r="E272" s="57"/>
      <c r="F272" s="57"/>
      <c r="G272" s="57"/>
      <c r="H272" s="58"/>
      <c r="I272" s="53"/>
      <c r="J272" s="16"/>
      <c r="K272" s="16"/>
      <c r="L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 t="s">
        <v>128</v>
      </c>
      <c r="J274" s="16"/>
      <c r="K274" s="16"/>
      <c r="L274" s="16"/>
    </row>
    <row r="275" ht="15.75" customHeight="1">
      <c r="A275" s="16"/>
      <c r="B275" s="17" t="str">
        <f>"Setembro "&amp;AnoCalendário</f>
        <v>Setembro 2026</v>
      </c>
      <c r="E275" s="18"/>
      <c r="F275" s="18"/>
      <c r="G275" s="18"/>
      <c r="H275" s="19"/>
      <c r="I275" s="16"/>
      <c r="J275" s="16"/>
      <c r="K275" s="16"/>
      <c r="L275" s="16"/>
    </row>
    <row r="276" ht="15.75" customHeight="1">
      <c r="A276" s="20"/>
      <c r="B276" s="22" t="str">
        <f>InícioDaSemana</f>
        <v>domingo</v>
      </c>
      <c r="C276" s="22" t="str">
        <f t="shared" ref="C276:H276" si="9">TEXT(C277,"dddd")</f>
        <v>Monday</v>
      </c>
      <c r="D276" s="22" t="str">
        <f t="shared" si="9"/>
        <v>Tuesday</v>
      </c>
      <c r="E276" s="22" t="str">
        <f t="shared" si="9"/>
        <v>Wednesday</v>
      </c>
      <c r="F276" s="22" t="str">
        <f t="shared" si="9"/>
        <v>Thursday</v>
      </c>
      <c r="G276" s="22" t="str">
        <f t="shared" si="9"/>
        <v>Friday</v>
      </c>
      <c r="H276" s="22" t="str">
        <f t="shared" si="9"/>
        <v>Saturday</v>
      </c>
      <c r="I276" s="20"/>
      <c r="J276" s="16"/>
      <c r="K276" s="16"/>
      <c r="L276" s="16"/>
    </row>
    <row r="277" ht="15.75" customHeight="1">
      <c r="A277" s="25"/>
      <c r="B277" s="27" t="str">
        <f t="array" ref="B277:H277">DiasESemanas+DATE(AnoCalendário,9,1)-WEEKDAY(DATE(AnoCalendário,9,1),(InícioDaSemana="segunda-feira")+1)+1</f>
        <v>30</v>
      </c>
      <c r="C277" s="27">
        <v>46265.0</v>
      </c>
      <c r="D277" s="27">
        <v>46266.0</v>
      </c>
      <c r="E277" s="27">
        <v>46267.0</v>
      </c>
      <c r="F277" s="27">
        <v>46268.0</v>
      </c>
      <c r="G277" s="27">
        <v>46269.0</v>
      </c>
      <c r="H277" s="27">
        <v>46270.0</v>
      </c>
      <c r="I277" s="25"/>
      <c r="J277" s="16"/>
      <c r="K277" s="16"/>
      <c r="L277" s="16"/>
    </row>
    <row r="278" ht="15.75" customHeight="1">
      <c r="A278" s="25"/>
      <c r="B278" s="48" t="str">
        <f>IFERROR(VLOOKUP(B277,'traspo ñ alterar'!$J$2:$M$500,2,FALSE),"")</f>
        <v>Concílio Local 1 - Eleição Episcopal</v>
      </c>
      <c r="C278" s="60" t="str">
        <f>IFERROR(VLOOKUP(C277,'traspo ñ alterar'!$J$2:$M$500,2,FALSE),"")</f>
        <v/>
      </c>
      <c r="D278" s="40" t="str">
        <f>IFERROR(VLOOKUP(D277,'traspo ñ alterar'!$J$2:$M$500,2,FALSE),"")</f>
        <v/>
      </c>
      <c r="E278" s="40" t="str">
        <f>IFERROR(VLOOKUP(E277,'traspo ñ alterar'!$J$2:$M$500,2,FALSE),"")</f>
        <v>Célula</v>
      </c>
      <c r="F278" s="40" t="str">
        <f>IFERROR(VLOOKUP(F277,'traspo ñ alterar'!$J$2:$M$500,2,FALSE),"")</f>
        <v>Culto de homens</v>
      </c>
      <c r="G278" s="40" t="str">
        <f>IFERROR(VLOOKUP(G277,'traspo ñ alterar'!$J$2:$M$500,2,FALSE),"")</f>
        <v>Vigília reencontro</v>
      </c>
      <c r="H278" s="40" t="str">
        <f>IFERROR(VLOOKUP(H277,'traspo ñ alterar'!$J$2:$M$500,2,FALSE),"")</f>
        <v/>
      </c>
      <c r="I278" s="25"/>
      <c r="J278" s="16"/>
      <c r="K278" s="16"/>
      <c r="L278" s="16"/>
    </row>
    <row r="279" ht="15.75" customHeight="1">
      <c r="A279" s="25"/>
      <c r="B279" s="48" t="str">
        <f>IFERROR(VLOOKUP(B277,'traspo ñ alterar'!$J$2:$M$500,3,FALSE),"")</f>
        <v/>
      </c>
      <c r="C279" s="60" t="str">
        <f>IFERROR(VLOOKUP(C277,'traspo ñ alterar'!$J$2:$M$500,3,FALSE),"")</f>
        <v/>
      </c>
      <c r="D279" s="40" t="str">
        <f>IFERROR(VLOOKUP(D277,'traspo ñ alterar'!$J$2:$M$500,3,FALSE),"")</f>
        <v/>
      </c>
      <c r="E279" s="40" t="str">
        <f>IFERROR(VLOOKUP(E277,'traspo ñ alterar'!$J$2:$M$500,3,FALSE),"")</f>
        <v/>
      </c>
      <c r="F279" s="40" t="str">
        <f>IFERROR(VLOOKUP(F277,'traspo ñ alterar'!$J$2:$M$500,3,FALSE),"")</f>
        <v/>
      </c>
      <c r="G279" s="40" t="str">
        <f>IFERROR(VLOOKUP(G277,'traspo ñ alterar'!$J$2:$M$500,3,FALSE),"")</f>
        <v>Sexta cabeceira</v>
      </c>
      <c r="H279" s="40" t="str">
        <f>IFERROR(VLOOKUP(H277,'traspo ñ alterar'!$J$2:$M$500,3,FALSE),"")</f>
        <v/>
      </c>
      <c r="I279" s="25"/>
      <c r="J279" s="16"/>
      <c r="K279" s="16"/>
      <c r="L279" s="16"/>
    </row>
    <row r="280" ht="15.75" customHeight="1">
      <c r="A280" s="25"/>
      <c r="B280" s="48" t="str">
        <f>IFERROR(VLOOKUP(B277,'traspo ñ alterar'!$J$2:$M$500,4,FALSE),"")</f>
        <v/>
      </c>
      <c r="C280" s="60" t="str">
        <f>IFERROR(VLOOKUP(C277,'traspo ñ alterar'!$J$2:$M$500,4,FALSE),"")</f>
        <v/>
      </c>
      <c r="D280" s="40" t="str">
        <f>IFERROR(VLOOKUP(D277,'traspo ñ alterar'!$J$2:$M$500,4,FALSE),"")</f>
        <v/>
      </c>
      <c r="E280" s="40" t="str">
        <f>IFERROR(VLOOKUP(E277,'traspo ñ alterar'!$J$2:$M$500,4,FALSE),"")</f>
        <v/>
      </c>
      <c r="F280" s="40" t="str">
        <f>IFERROR(VLOOKUP(F277,'traspo ñ alterar'!$J$2:$M$500,4,FALSE),"")</f>
        <v/>
      </c>
      <c r="G280" s="40" t="str">
        <f>IFERROR(VLOOKUP(G277,'traspo ñ alterar'!$J$2:$M$500,4,FALSE),"")</f>
        <v/>
      </c>
      <c r="H280" s="40" t="str">
        <f>IFERROR(VLOOKUP(H277,'traspo ñ alterar'!$J$2:$M$500,4,FALSE),"")</f>
        <v/>
      </c>
      <c r="I280" s="25"/>
      <c r="J280" s="16"/>
      <c r="K280" s="16"/>
      <c r="L280" s="16"/>
    </row>
    <row r="281" ht="15.75" customHeight="1">
      <c r="A281" s="53"/>
      <c r="B281" s="69" t="str">
        <f>IFERROR(VLOOKUP(B278,'traspo ñ alterar'!$J$2:$M$500,5,FALSE),"")</f>
        <v/>
      </c>
      <c r="C281" s="66"/>
      <c r="D281" s="42"/>
      <c r="E281" s="42"/>
      <c r="F281" s="42"/>
      <c r="G281" s="42"/>
      <c r="H281" s="42"/>
      <c r="I281" s="53"/>
      <c r="J281" s="16"/>
      <c r="K281" s="16"/>
      <c r="L281" s="16"/>
    </row>
    <row r="282" ht="15.75" customHeight="1">
      <c r="A282" s="25"/>
      <c r="B282" s="37" t="str">
        <f t="array" ref="B282:H282">DiasESemanas+DATE(AnoCalendário,9,1)-WEEKDAY(DATE(AnoCalendário,9,1),(InícioDaSemana="segunda-feira")+1)+8</f>
        <v>6</v>
      </c>
      <c r="C282" s="37">
        <v>46272.0</v>
      </c>
      <c r="D282" s="37">
        <v>46273.0</v>
      </c>
      <c r="E282" s="37">
        <v>46274.0</v>
      </c>
      <c r="F282" s="37">
        <v>46275.0</v>
      </c>
      <c r="G282" s="37">
        <v>46276.0</v>
      </c>
      <c r="H282" s="37">
        <v>46277.0</v>
      </c>
      <c r="I282" s="25"/>
      <c r="J282" s="16"/>
      <c r="K282" s="16"/>
      <c r="L282" s="16"/>
    </row>
    <row r="283" ht="15.75" customHeight="1">
      <c r="A283" s="25"/>
      <c r="B283" s="39" t="str">
        <f>IFERROR(VLOOKUP(B282,'traspo ñ alterar'!$J$2:$M$500,2,FALSE),"")</f>
        <v>Culto em Rio Brilhante</v>
      </c>
      <c r="C283" s="40" t="str">
        <f>IFERROR(VLOOKUP(C282,'traspo ñ alterar'!$J$2:$M$500,2,FALSE),"")</f>
        <v/>
      </c>
      <c r="D283" s="40" t="str">
        <f>IFERROR(VLOOKUP(D282,'traspo ñ alterar'!$J$2:$M$500,2,FALSE),"")</f>
        <v/>
      </c>
      <c r="E283" s="40" t="str">
        <f>IFERROR(VLOOKUP(E282,'traspo ñ alterar'!$J$2:$M$500,2,FALSE),"")</f>
        <v>Célula</v>
      </c>
      <c r="F283" s="40" t="str">
        <f>IFERROR(VLOOKUP(F282,'traspo ñ alterar'!$J$2:$M$500,2,FALSE),"")</f>
        <v/>
      </c>
      <c r="G283" s="40" t="str">
        <f>IFERROR(VLOOKUP(G282,'traspo ñ alterar'!$J$2:$M$500,2,FALSE),"")</f>
        <v>Vigilia reencontro</v>
      </c>
      <c r="H283" s="40" t="str">
        <f>IFERROR(VLOOKUP(H282,'traspo ñ alterar'!$J$2:$M$500,2,FALSE),"")</f>
        <v>Relogio de oração</v>
      </c>
      <c r="I283" s="25"/>
      <c r="J283" s="16"/>
      <c r="K283" s="16"/>
      <c r="L283" s="16"/>
    </row>
    <row r="284" ht="15.75" customHeight="1">
      <c r="A284" s="25"/>
      <c r="B284" s="39" t="str">
        <f>IFERROR(VLOOKUP(B282,'traspo ñ alterar'!$J$2:$M$500,3,FALSE),"")</f>
        <v/>
      </c>
      <c r="C284" s="40" t="str">
        <f>IFERROR(VLOOKUP(C282,'traspo ñ alterar'!$J$2:$M$500,3,FALSE),"")</f>
        <v/>
      </c>
      <c r="D284" s="40" t="str">
        <f>IFERROR(VLOOKUP(D282,'traspo ñ alterar'!$J$2:$M$500,3,FALSE),"")</f>
        <v/>
      </c>
      <c r="E284" s="40" t="str">
        <f>IFERROR(VLOOKUP(E282,'traspo ñ alterar'!$J$2:$M$500,3,FALSE),"")</f>
        <v/>
      </c>
      <c r="F284" s="40" t="str">
        <f>IFERROR(VLOOKUP(F282,'traspo ñ alterar'!$J$2:$M$500,3,FALSE),"")</f>
        <v/>
      </c>
      <c r="G284" s="40" t="str">
        <f>IFERROR(VLOOKUP(G282,'traspo ñ alterar'!$J$2:$M$500,3,FALSE),"")</f>
        <v>Sexta cabeceira</v>
      </c>
      <c r="H284" s="40" t="str">
        <f>IFERROR(VLOOKUP(H282,'traspo ñ alterar'!$J$2:$M$500,3,FALSE),"")</f>
        <v>Inteensos</v>
      </c>
      <c r="I284" s="25"/>
      <c r="J284" s="16"/>
      <c r="K284" s="16"/>
      <c r="L284" s="16"/>
    </row>
    <row r="285" ht="15.75" customHeight="1">
      <c r="A285" s="25"/>
      <c r="B285" s="39" t="str">
        <f>IFERROR(VLOOKUP(B282,'traspo ñ alterar'!$J$2:$M$500,4,FALSE),"")</f>
        <v/>
      </c>
      <c r="C285" s="40" t="str">
        <f>IFERROR(VLOOKUP(C282,'traspo ñ alterar'!$J$2:$M$500,4,FALSE),"")</f>
        <v/>
      </c>
      <c r="D285" s="40" t="str">
        <f>IFERROR(VLOOKUP(D282,'traspo ñ alterar'!$J$2:$M$500,4,FALSE),"")</f>
        <v/>
      </c>
      <c r="E285" s="40" t="str">
        <f>IFERROR(VLOOKUP(E282,'traspo ñ alterar'!$J$2:$M$500,4,FALSE),"")</f>
        <v/>
      </c>
      <c r="F285" s="40" t="str">
        <f>IFERROR(VLOOKUP(F282,'traspo ñ alterar'!$J$2:$M$500,4,FALSE),"")</f>
        <v/>
      </c>
      <c r="G285" s="40" t="str">
        <f>IFERROR(VLOOKUP(G282,'traspo ñ alterar'!$J$2:$M$500,4,FALSE),"")</f>
        <v/>
      </c>
      <c r="H285" s="40" t="str">
        <f>IFERROR(VLOOKUP(H282,'traspo ñ alterar'!$J$2:$M$500,4,FALSE),"")</f>
        <v>Bazar</v>
      </c>
      <c r="I285" s="25"/>
      <c r="J285" s="16"/>
      <c r="K285" s="16"/>
      <c r="L285" s="16"/>
    </row>
    <row r="286" ht="15.75" customHeight="1">
      <c r="A286" s="53"/>
      <c r="B286" s="41" t="str">
        <f>IFERROR(VLOOKUP(B283,'traspo ñ alterar'!$J$2:$M$500,5,FALSE),"")</f>
        <v/>
      </c>
      <c r="C286" s="42"/>
      <c r="D286" s="42"/>
      <c r="E286" s="42"/>
      <c r="F286" s="42"/>
      <c r="G286" s="42"/>
      <c r="H286" s="40" t="str">
        <f>IFERROR(VLOOKUP(H283,'traspo ñ alterar'!$J$2:$M$500,5,FALSE),"")</f>
        <v/>
      </c>
      <c r="I286" s="53"/>
      <c r="J286" s="16"/>
      <c r="K286" s="16"/>
      <c r="L286" s="16"/>
    </row>
    <row r="287" ht="15.75" customHeight="1">
      <c r="A287" s="25"/>
      <c r="B287" s="37" t="str">
        <f t="array" ref="B287:H287">DiasESemanas+DATE(AnoCalendário,9,1)-WEEKDAY(DATE(AnoCalendário,9,1),(InícioDaSemana="segunda-feira")+1)+15</f>
        <v>13</v>
      </c>
      <c r="C287" s="37">
        <v>46279.0</v>
      </c>
      <c r="D287" s="37">
        <v>46280.0</v>
      </c>
      <c r="E287" s="37">
        <v>46281.0</v>
      </c>
      <c r="F287" s="37">
        <v>46282.0</v>
      </c>
      <c r="G287" s="37">
        <v>46283.0</v>
      </c>
      <c r="H287" s="37">
        <v>46284.0</v>
      </c>
      <c r="I287" s="25"/>
      <c r="J287" s="16"/>
      <c r="K287" s="16"/>
      <c r="L287" s="16"/>
    </row>
    <row r="288" ht="15.75" customHeight="1">
      <c r="A288" s="25"/>
      <c r="B288" s="39" t="str">
        <f>IFERROR(VLOOKUP(B287,'traspo ñ alterar'!$J$2:$M$500,2,FALSE),"")</f>
        <v>Cantina Prol GE</v>
      </c>
      <c r="C288" s="40" t="str">
        <f>IFERROR(VLOOKUP(C287,'traspo ñ alterar'!$J$2:$M$500,2,FALSE),"")</f>
        <v/>
      </c>
      <c r="D288" s="40" t="str">
        <f>IFERROR(VLOOKUP(D287,'traspo ñ alterar'!$J$2:$M$500,2,FALSE),"")</f>
        <v/>
      </c>
      <c r="E288" s="40" t="str">
        <f>IFERROR(VLOOKUP(E287,'traspo ñ alterar'!$J$2:$M$500,2,FALSE),"")</f>
        <v>Célula</v>
      </c>
      <c r="F288" s="40" t="str">
        <f>IFERROR(VLOOKUP(F287,'traspo ñ alterar'!$J$2:$M$500,2,FALSE),"")</f>
        <v>Futebol </v>
      </c>
      <c r="G288" s="40" t="str">
        <f>IFERROR(VLOOKUP(G287,'traspo ñ alterar'!$J$2:$M$500,2,FALSE),"")</f>
        <v>Sexta cabeceira</v>
      </c>
      <c r="H288" s="40" t="str">
        <f>IFERROR(VLOOKUP(H287,'traspo ñ alterar'!$J$2:$M$500,2,FALSE),"")</f>
        <v>Clamor 24 horas</v>
      </c>
      <c r="I288" s="25"/>
      <c r="J288" s="16"/>
      <c r="K288" s="16"/>
      <c r="L288" s="16"/>
    </row>
    <row r="289" ht="15.75" customHeight="1">
      <c r="A289" s="25"/>
      <c r="B289" s="39" t="str">
        <f>IFERROR(VLOOKUP(B287,'traspo ñ alterar'!$J$2:$M$500,3,FALSE),"")</f>
        <v/>
      </c>
      <c r="C289" s="40" t="str">
        <f>IFERROR(VLOOKUP(C287,'traspo ñ alterar'!$J$2:$M$500,3,FALSE),"")</f>
        <v/>
      </c>
      <c r="D289" s="40" t="str">
        <f>IFERROR(VLOOKUP(D287,'traspo ñ alterar'!$J$2:$M$500,3,FALSE),"")</f>
        <v/>
      </c>
      <c r="E289" s="40" t="str">
        <f>IFERROR(VLOOKUP(E287,'traspo ñ alterar'!$J$2:$M$500,3,FALSE),"")</f>
        <v/>
      </c>
      <c r="F289" s="40" t="str">
        <f>IFERROR(VLOOKUP(F287,'traspo ñ alterar'!$J$2:$M$500,3,FALSE),"")</f>
        <v/>
      </c>
      <c r="G289" s="40" t="str">
        <f>IFERROR(VLOOKUP(G287,'traspo ñ alterar'!$J$2:$M$500,3,FALSE),"")</f>
        <v/>
      </c>
      <c r="H289" s="40" t="str">
        <f>IFERROR(VLOOKUP(H287,'traspo ñ alterar'!$J$2:$M$500,3,FALSE),"")</f>
        <v/>
      </c>
      <c r="I289" s="25"/>
      <c r="J289" s="16"/>
      <c r="K289" s="16"/>
      <c r="L289" s="16"/>
    </row>
    <row r="290" ht="15.75" customHeight="1">
      <c r="A290" s="25"/>
      <c r="B290" s="39" t="str">
        <f>IFERROR(VLOOKUP(B287,'traspo ñ alterar'!$J$2:$M$500,4,FALSE),"")</f>
        <v/>
      </c>
      <c r="C290" s="40" t="str">
        <f>IFERROR(VLOOKUP(C287,'traspo ñ alterar'!$J$2:$M$500,4,FALSE),"")</f>
        <v/>
      </c>
      <c r="D290" s="40" t="str">
        <f>IFERROR(VLOOKUP(D287,'traspo ñ alterar'!$J$2:$M$500,4,FALSE),"")</f>
        <v/>
      </c>
      <c r="E290" s="40" t="str">
        <f>IFERROR(VLOOKUP(E287,'traspo ñ alterar'!$J$2:$M$500,4,FALSE),"")</f>
        <v/>
      </c>
      <c r="F290" s="40" t="str">
        <f>IFERROR(VLOOKUP(F287,'traspo ñ alterar'!$J$2:$M$500,4,FALSE),"")</f>
        <v/>
      </c>
      <c r="G290" s="40" t="str">
        <f>IFERROR(VLOOKUP(G287,'traspo ñ alterar'!$J$2:$M$500,4,FALSE),"")</f>
        <v/>
      </c>
      <c r="H290" s="40" t="str">
        <f>IFERROR(VLOOKUP(H287,'traspo ñ alterar'!$J$2:$M$500,4,FALSE),"")</f>
        <v/>
      </c>
      <c r="I290" s="25"/>
      <c r="J290" s="16"/>
      <c r="K290" s="16"/>
      <c r="L290" s="16"/>
    </row>
    <row r="291" ht="15.75" customHeight="1">
      <c r="A291" s="53"/>
      <c r="B291" s="41" t="str">
        <f>IFERROR(VLOOKUP(B288,'traspo ñ alterar'!$J$2:$M$500,5,FALSE),"")</f>
        <v/>
      </c>
      <c r="C291" s="42"/>
      <c r="D291" s="42"/>
      <c r="E291" s="42"/>
      <c r="F291" s="42"/>
      <c r="G291" s="42"/>
      <c r="H291" s="42"/>
      <c r="I291" s="53"/>
      <c r="J291" s="16"/>
      <c r="K291" s="16"/>
      <c r="L291" s="16"/>
    </row>
    <row r="292" ht="15.75" customHeight="1">
      <c r="A292" s="25"/>
      <c r="B292" s="37" t="str">
        <f t="array" ref="B292:H292">DiasESemanas+DATE(AnoCalendário,9,1)-WEEKDAY(DATE(AnoCalendário,9,1),(InícioDaSemana="segunda-feira")+1)+22</f>
        <v>20</v>
      </c>
      <c r="C292" s="37">
        <v>46286.0</v>
      </c>
      <c r="D292" s="37">
        <v>46287.0</v>
      </c>
      <c r="E292" s="37">
        <v>46288.0</v>
      </c>
      <c r="F292" s="37">
        <v>46289.0</v>
      </c>
      <c r="G292" s="37">
        <v>46290.0</v>
      </c>
      <c r="H292" s="37">
        <v>46291.0</v>
      </c>
      <c r="I292" s="25"/>
      <c r="J292" s="16"/>
      <c r="K292" s="16"/>
      <c r="L292" s="16"/>
    </row>
    <row r="293" ht="15.75" customHeight="1">
      <c r="A293" s="25"/>
      <c r="B293" s="39" t="str">
        <f>IFERROR(VLOOKUP(B292,'traspo ñ alterar'!$J$2:$M$500,2,FALSE),"")</f>
        <v>Jejum 6h</v>
      </c>
      <c r="C293" s="40" t="str">
        <f>IFERROR(VLOOKUP(C292,'traspo ñ alterar'!$J$2:$M$500,2,FALSE),"")</f>
        <v>Jejum 6h</v>
      </c>
      <c r="D293" s="40" t="str">
        <f>IFERROR(VLOOKUP(D292,'traspo ñ alterar'!$J$2:$M$500,2,FALSE),"")</f>
        <v>Jejum 6h</v>
      </c>
      <c r="E293" s="40" t="str">
        <f>IFERROR(VLOOKUP(E292,'traspo ñ alterar'!$J$2:$M$500,2,FALSE),"")</f>
        <v>Jejum 6h</v>
      </c>
      <c r="F293" s="40" t="str">
        <f>IFERROR(VLOOKUP(F292,'traspo ñ alterar'!$J$2:$M$500,2,FALSE),"")</f>
        <v>Jejum 6h</v>
      </c>
      <c r="G293" s="40" t="str">
        <f>IFERROR(VLOOKUP(G292,'traspo ñ alterar'!$J$2:$M$500,2,FALSE),"")</f>
        <v>Jejum 6h</v>
      </c>
      <c r="H293" s="40" t="str">
        <f>IFERROR(VLOOKUP(H292,'traspo ñ alterar'!$J$2:$M$500,2,FALSE),"")</f>
        <v>Jejum 6h</v>
      </c>
      <c r="I293" s="25"/>
      <c r="J293" s="16"/>
      <c r="K293" s="16"/>
      <c r="L293" s="16"/>
    </row>
    <row r="294" ht="15.75" customHeight="1">
      <c r="A294" s="25"/>
      <c r="B294" s="39" t="str">
        <f>IFERROR(VLOOKUP(B292,'traspo ñ alterar'!$J$2:$M$500,3,FALSE),"")</f>
        <v>Dia da EBD</v>
      </c>
      <c r="C294" s="40" t="str">
        <f>IFERROR(VLOOKUP(C292,'traspo ñ alterar'!$J$2:$M$500,3,FALSE),"")</f>
        <v/>
      </c>
      <c r="D294" s="40" t="str">
        <f>IFERROR(VLOOKUP(D292,'traspo ñ alterar'!$J$2:$M$500,3,FALSE),"")</f>
        <v/>
      </c>
      <c r="E294" s="40" t="str">
        <f>IFERROR(VLOOKUP(E292,'traspo ñ alterar'!$J$2:$M$500,3,FALSE),"")</f>
        <v>Célula</v>
      </c>
      <c r="F294" s="40" t="str">
        <f>IFERROR(VLOOKUP(F292,'traspo ñ alterar'!$J$2:$M$500,3,FALSE),"")</f>
        <v/>
      </c>
      <c r="G294" s="40" t="str">
        <f>IFERROR(VLOOKUP(G292,'traspo ñ alterar'!$J$2:$M$500,3,FALSE),"")</f>
        <v>Sexta cabeceira</v>
      </c>
      <c r="H294" s="40" t="str">
        <f>IFERROR(VLOOKUP(H292,'traspo ñ alterar'!$J$2:$M$500,3,FALSE),"")</f>
        <v>Concilio Distrital</v>
      </c>
      <c r="I294" s="25"/>
      <c r="J294" s="16"/>
      <c r="K294" s="16"/>
      <c r="L294" s="16"/>
    </row>
    <row r="295" ht="15.75" customHeight="1">
      <c r="A295" s="25"/>
      <c r="B295" s="39" t="str">
        <f>IFERROR(VLOOKUP(B292,'traspo ñ alterar'!$J$2:$M$500,4,FALSE),"")</f>
        <v>Clamor 24 horas</v>
      </c>
      <c r="C295" s="40" t="str">
        <f>IFERROR(VLOOKUP(C292,'traspo ñ alterar'!$J$2:$M$500,4,FALSE),"")</f>
        <v/>
      </c>
      <c r="D295" s="40" t="str">
        <f>IFERROR(VLOOKUP(D292,'traspo ñ alterar'!$J$2:$M$500,4,FALSE),"")</f>
        <v/>
      </c>
      <c r="E295" s="40" t="str">
        <f>IFERROR(VLOOKUP(E292,'traspo ñ alterar'!$J$2:$M$500,4,FALSE),"")</f>
        <v/>
      </c>
      <c r="F295" s="40" t="str">
        <f>IFERROR(VLOOKUP(F292,'traspo ñ alterar'!$J$2:$M$500,4,FALSE),"")</f>
        <v/>
      </c>
      <c r="G295" s="40" t="str">
        <f>IFERROR(VLOOKUP(G292,'traspo ñ alterar'!$J$2:$M$500,4,FALSE),"")</f>
        <v/>
      </c>
      <c r="H295" s="40" t="str">
        <f>IFERROR(VLOOKUP(H292,'traspo ñ alterar'!$J$2:$M$500,4,FALSE),"")</f>
        <v/>
      </c>
      <c r="I295" s="25"/>
      <c r="J295" s="16"/>
      <c r="K295" s="16"/>
      <c r="L295" s="16"/>
    </row>
    <row r="296" ht="15.75" customHeight="1">
      <c r="A296" s="53"/>
      <c r="B296" s="41" t="str">
        <f>IFERROR(VLOOKUP(B293,'traspo ñ alterar'!$J$2:$M$500,5,FALSE),"")</f>
        <v/>
      </c>
      <c r="C296" s="42"/>
      <c r="D296" s="42"/>
      <c r="E296" s="42"/>
      <c r="F296" s="42"/>
      <c r="G296" s="42"/>
      <c r="H296" s="42"/>
      <c r="I296" s="53"/>
      <c r="J296" s="16"/>
      <c r="K296" s="16"/>
      <c r="L296" s="16"/>
    </row>
    <row r="297" ht="15.75" customHeight="1">
      <c r="A297" s="25"/>
      <c r="B297" s="37" t="str">
        <f t="array" ref="B297:H297">DiasESemanas+DATE(AnoCalendário,9,1)-WEEKDAY(DATE(AnoCalendário,9,1),(InícioDaSemana="segunda-feira")+1)+29</f>
        <v>27</v>
      </c>
      <c r="C297" s="37">
        <v>46293.0</v>
      </c>
      <c r="D297" s="37">
        <v>46294.0</v>
      </c>
      <c r="E297" s="37">
        <v>46295.0</v>
      </c>
      <c r="F297" s="37">
        <v>46296.0</v>
      </c>
      <c r="G297" s="37">
        <v>46297.0</v>
      </c>
      <c r="H297" s="37">
        <v>46298.0</v>
      </c>
      <c r="I297" s="25"/>
      <c r="J297" s="16"/>
      <c r="K297" s="16"/>
      <c r="L297" s="16"/>
    </row>
    <row r="298" ht="15.75" customHeight="1">
      <c r="A298" s="25"/>
      <c r="B298" s="39" t="str">
        <f>IFERROR(VLOOKUP(B297,'traspo ñ alterar'!$J$2:$M$500,2,FALSE),"")</f>
        <v>Jejum 12h</v>
      </c>
      <c r="C298" s="40" t="str">
        <f>IFERROR(VLOOKUP(C297,'traspo ñ alterar'!$J$2:$M$500,2,FALSE),"")</f>
        <v>Jejum 12h</v>
      </c>
      <c r="D298" s="40" t="str">
        <f>IFERROR(VLOOKUP(D297,'traspo ñ alterar'!$J$2:$M$500,2,FALSE),"")</f>
        <v>Jejum 12h</v>
      </c>
      <c r="E298" s="40" t="str">
        <f>IFERROR(VLOOKUP(E297,'traspo ñ alterar'!$J$2:$M$500,2,FALSE),"")</f>
        <v>Jejum 12h</v>
      </c>
      <c r="F298" s="60" t="str">
        <f>IFERROR(VLOOKUP(F297,'traspo ñ alterar'!$J$2:$M$500,2,FALSE),"")</f>
        <v>Jejum 12h</v>
      </c>
      <c r="G298" s="60" t="str">
        <f>IFERROR(VLOOKUP(G297,'traspo ñ alterar'!$J$2:$M$500,2,FALSE),"")</f>
        <v>Jejum 12h</v>
      </c>
      <c r="H298" s="60" t="str">
        <f>IFERROR(VLOOKUP(H297,'traspo ñ alterar'!$J$2:$M$500,2,FALSE),"")</f>
        <v>Jejum 12h</v>
      </c>
      <c r="I298" s="25"/>
      <c r="J298" s="16"/>
      <c r="K298" s="16"/>
      <c r="L298" s="16"/>
    </row>
    <row r="299" ht="15.75" customHeight="1">
      <c r="A299" s="25"/>
      <c r="B299" s="39" t="str">
        <f>IFERROR(VLOOKUP(B297,'traspo ñ alterar'!$J$2:$M$500,3,FALSE),"")</f>
        <v>Culto missionário</v>
      </c>
      <c r="C299" s="40" t="str">
        <f>IFERROR(VLOOKUP(C297,'traspo ñ alterar'!$J$2:$M$500,3,FALSE),"")</f>
        <v/>
      </c>
      <c r="D299" s="40" t="str">
        <f>IFERROR(VLOOKUP(D297,'traspo ñ alterar'!$J$2:$M$500,3,FALSE),"")</f>
        <v/>
      </c>
      <c r="E299" s="40" t="str">
        <f>IFERROR(VLOOKUP(E297,'traspo ñ alterar'!$J$2:$M$500,3,FALSE),"")</f>
        <v>Dia do Secretário</v>
      </c>
      <c r="F299" s="60" t="str">
        <f>IFERROR(VLOOKUP(F297,'traspo ñ alterar'!$J$2:$M$500,3,FALSE),"")</f>
        <v/>
      </c>
      <c r="G299" s="60" t="str">
        <f>IFERROR(VLOOKUP(G297,'traspo ñ alterar'!$J$2:$M$500,3,FALSE),"")</f>
        <v>Vigília</v>
      </c>
      <c r="H299" s="60" t="str">
        <f>IFERROR(VLOOKUP(H297,'traspo ñ alterar'!$J$2:$M$500,3,FALSE),"")</f>
        <v>Alinhamento das Células</v>
      </c>
      <c r="I299" s="25"/>
      <c r="J299" s="16"/>
      <c r="K299" s="16"/>
      <c r="L299" s="16"/>
    </row>
    <row r="300" ht="15.75" customHeight="1">
      <c r="A300" s="25"/>
      <c r="B300" s="39" t="str">
        <f>IFERROR(VLOOKUP(B297,'traspo ñ alterar'!$J$2:$M$500,4,FALSE),"")</f>
        <v>Concilio Distrital</v>
      </c>
      <c r="C300" s="40" t="str">
        <f>IFERROR(VLOOKUP(C297,'traspo ñ alterar'!$J$2:$M$500,4,FALSE),"")</f>
        <v/>
      </c>
      <c r="D300" s="40" t="str">
        <f>IFERROR(VLOOKUP(D297,'traspo ñ alterar'!$J$2:$M$500,4,FALSE),"")</f>
        <v/>
      </c>
      <c r="E300" s="40" t="str">
        <f>IFERROR(VLOOKUP(E297,'traspo ñ alterar'!$J$2:$M$500,4,FALSE),"")</f>
        <v>Célula</v>
      </c>
      <c r="F300" s="60" t="str">
        <f>IFERROR(VLOOKUP(F297,'traspo ñ alterar'!$J$2:$M$500,4,FALSE),"")</f>
        <v/>
      </c>
      <c r="G300" s="60" t="str">
        <f>IFERROR(VLOOKUP(G297,'traspo ñ alterar'!$J$2:$M$500,4,FALSE),"")</f>
        <v>Sexta cabeceira</v>
      </c>
      <c r="H300" s="60" t="str">
        <f>IFERROR(VLOOKUP(H297,'traspo ñ alterar'!$J$2:$M$500,4,FALSE),"")</f>
        <v/>
      </c>
      <c r="I300" s="25"/>
      <c r="J300" s="16"/>
      <c r="K300" s="16"/>
      <c r="L300" s="16"/>
    </row>
    <row r="301" ht="15.75" customHeight="1">
      <c r="A301" s="53"/>
      <c r="B301" s="41" t="str">
        <f>IFERROR(VLOOKUP(B298,'traspo ñ alterar'!$J$2:$M$500,5,FALSE),"")</f>
        <v/>
      </c>
      <c r="C301" s="42"/>
      <c r="D301" s="42"/>
      <c r="E301" s="42"/>
      <c r="F301" s="66"/>
      <c r="G301" s="66"/>
      <c r="H301" s="66"/>
      <c r="I301" s="53"/>
      <c r="J301" s="16"/>
      <c r="K301" s="16"/>
      <c r="L301" s="16"/>
    </row>
    <row r="302" ht="15.75" customHeight="1">
      <c r="A302" s="25"/>
      <c r="B302" s="37" t="str">
        <f t="array" ref="B302:C302">DiasESemanas+DATE(AnoCalendário,9,1)-WEEKDAY(DATE(AnoCalendário,9,1),(InícioDaSemana="segunda-feira")+1)+36</f>
        <v>4</v>
      </c>
      <c r="C302" s="37">
        <v>46300.0</v>
      </c>
      <c r="D302" s="50" t="s">
        <v>133</v>
      </c>
      <c r="H302" s="63"/>
      <c r="I302" s="25"/>
      <c r="J302" s="16"/>
      <c r="K302" s="16"/>
      <c r="L302" s="16"/>
    </row>
    <row r="303" ht="15.75" customHeight="1">
      <c r="A303" s="25"/>
      <c r="B303" s="48" t="str">
        <f>IFERROR(VLOOKUP(B302,'traspo ñ alterar'!$J$2:$M$500,2,FALSE),"")</f>
        <v>Jejum 18h</v>
      </c>
      <c r="C303" s="60" t="str">
        <f>IFERROR(VLOOKUP(C302,'traspo ñ alterar'!$J$2:$M$500,2,FALSE),"")</f>
        <v>Jejum 18h</v>
      </c>
      <c r="D303" s="50"/>
      <c r="E303" s="51"/>
      <c r="F303" s="51"/>
      <c r="G303" s="51"/>
      <c r="H303" s="52"/>
      <c r="I303" s="25"/>
      <c r="J303" s="16"/>
      <c r="K303" s="16"/>
      <c r="L303" s="16"/>
    </row>
    <row r="304" ht="15.75" customHeight="1">
      <c r="A304" s="25"/>
      <c r="B304" s="48" t="str">
        <f>IFERROR(VLOOKUP(B302,'traspo ñ alterar'!$J$2:$M$500,3,FALSE),"")</f>
        <v>Culto em Rio Brilhante</v>
      </c>
      <c r="C304" s="60" t="str">
        <f>IFERROR(VLOOKUP(C302,'traspo ñ alterar'!$J$2:$M$500,3,FALSE),"")</f>
        <v/>
      </c>
      <c r="D304" s="50"/>
      <c r="E304" s="51"/>
      <c r="F304" s="51"/>
      <c r="G304" s="51"/>
      <c r="H304" s="52"/>
      <c r="I304" s="25"/>
      <c r="J304" s="16"/>
      <c r="K304" s="16"/>
      <c r="L304" s="16"/>
    </row>
    <row r="305" ht="15.75" customHeight="1">
      <c r="A305" s="25"/>
      <c r="B305" s="48" t="str">
        <f>IFERROR(VLOOKUP(B302,'traspo ñ alterar'!$J$2:$M$500,4,FALSE),"")</f>
        <v/>
      </c>
      <c r="C305" s="60" t="str">
        <f>IFERROR(VLOOKUP(C302,'traspo ñ alterar'!$J$2:$M$500,4,FALSE),"")</f>
        <v/>
      </c>
      <c r="D305" s="50"/>
      <c r="E305" s="51"/>
      <c r="F305" s="51"/>
      <c r="G305" s="51"/>
      <c r="H305" s="52"/>
      <c r="I305" s="25"/>
      <c r="J305" s="16"/>
      <c r="K305" s="16"/>
      <c r="L305" s="16"/>
    </row>
    <row r="306" ht="15.75" customHeight="1">
      <c r="A306" s="53"/>
      <c r="B306" s="70" t="str">
        <f>IFERROR(VLOOKUP(B303,'traspo ñ alterar'!$J$2:$M$500,5,FALSE),"")</f>
        <v/>
      </c>
      <c r="C306" s="64"/>
      <c r="D306" s="56"/>
      <c r="E306" s="57"/>
      <c r="F306" s="57"/>
      <c r="G306" s="57"/>
      <c r="H306" s="58"/>
      <c r="I306" s="53"/>
      <c r="J306" s="16"/>
      <c r="K306" s="16"/>
      <c r="L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 t="s">
        <v>128</v>
      </c>
      <c r="J308" s="16"/>
      <c r="K308" s="16"/>
      <c r="L308" s="16"/>
    </row>
    <row r="309" ht="15.75" customHeight="1">
      <c r="A309" s="16"/>
      <c r="B309" s="17" t="str">
        <f>"Outubro "&amp;AnoCalendário</f>
        <v>Outubro 2026</v>
      </c>
      <c r="E309" s="18"/>
      <c r="F309" s="18"/>
      <c r="G309" s="18"/>
      <c r="H309" s="19"/>
      <c r="I309" s="16"/>
      <c r="J309" s="16"/>
      <c r="K309" s="16"/>
      <c r="L309" s="16"/>
    </row>
    <row r="310" ht="15.75" customHeight="1">
      <c r="A310" s="20"/>
      <c r="B310" s="22" t="str">
        <f>InícioDaSemana</f>
        <v>domingo</v>
      </c>
      <c r="C310" s="22" t="str">
        <f t="shared" ref="C310:H310" si="10">TEXT(C311,"dddd")</f>
        <v>Monday</v>
      </c>
      <c r="D310" s="22" t="str">
        <f t="shared" si="10"/>
        <v>Tuesday</v>
      </c>
      <c r="E310" s="22" t="str">
        <f t="shared" si="10"/>
        <v>Wednesday</v>
      </c>
      <c r="F310" s="22" t="str">
        <f t="shared" si="10"/>
        <v>Thursday</v>
      </c>
      <c r="G310" s="22" t="str">
        <f t="shared" si="10"/>
        <v>Friday</v>
      </c>
      <c r="H310" s="22" t="str">
        <f t="shared" si="10"/>
        <v>Saturday</v>
      </c>
      <c r="I310" s="20"/>
      <c r="J310" s="16"/>
      <c r="K310" s="16"/>
      <c r="L310" s="16"/>
    </row>
    <row r="311" ht="15.75" customHeight="1">
      <c r="A311" s="25"/>
      <c r="B311" s="27" t="str">
        <f t="array" ref="B311:H311">DiasESemanas+DATE(AnoCalendário,10,1)-WEEKDAY(DATE(AnoCalendário,10,1),(InícioDaSemana="segunda-feira")+1)+1</f>
        <v>27</v>
      </c>
      <c r="C311" s="27">
        <v>46293.0</v>
      </c>
      <c r="D311" s="27">
        <v>46294.0</v>
      </c>
      <c r="E311" s="27">
        <v>46295.0</v>
      </c>
      <c r="F311" s="27">
        <v>46296.0</v>
      </c>
      <c r="G311" s="27">
        <v>46297.0</v>
      </c>
      <c r="H311" s="27">
        <v>46298.0</v>
      </c>
      <c r="I311" s="25"/>
      <c r="J311" s="16"/>
      <c r="K311" s="16"/>
      <c r="L311" s="16"/>
    </row>
    <row r="312" ht="15.75" customHeight="1">
      <c r="A312" s="25"/>
      <c r="B312" s="48" t="str">
        <f>IFERROR(VLOOKUP(B311,'traspo ñ alterar'!$J$2:$M$500,2,FALSE),"")</f>
        <v>Jejum 12h</v>
      </c>
      <c r="C312" s="60" t="str">
        <f>IFERROR(VLOOKUP(C311,'traspo ñ alterar'!$J$2:$M$500,2,FALSE),"")</f>
        <v>Jejum 12h</v>
      </c>
      <c r="D312" s="60" t="str">
        <f>IFERROR(VLOOKUP(D311,'traspo ñ alterar'!$J$2:$M$500,2,FALSE),"")</f>
        <v>Jejum 12h</v>
      </c>
      <c r="E312" s="60" t="str">
        <f>IFERROR(VLOOKUP(E311,'traspo ñ alterar'!$J$2:$M$500,2,FALSE),"")</f>
        <v>Jejum 12h</v>
      </c>
      <c r="F312" s="40" t="str">
        <f>IFERROR(VLOOKUP(F311,'traspo ñ alterar'!$J$2:$M$500,2,FALSE),"")</f>
        <v>Jejum 12h</v>
      </c>
      <c r="G312" s="40" t="str">
        <f>IFERROR(VLOOKUP(G311,'traspo ñ alterar'!$J$2:$M$500,2,FALSE),"")</f>
        <v>Jejum 12h</v>
      </c>
      <c r="H312" s="40" t="str">
        <f>IFERROR(VLOOKUP(H311,'traspo ñ alterar'!$J$2:$M$500,2,FALSE),"")</f>
        <v>Jejum 12h</v>
      </c>
      <c r="I312" s="25"/>
      <c r="J312" s="16"/>
      <c r="K312" s="16"/>
      <c r="L312" s="16"/>
    </row>
    <row r="313" ht="15.75" customHeight="1">
      <c r="A313" s="25"/>
      <c r="B313" s="48" t="str">
        <f>IFERROR(VLOOKUP(B311,'traspo ñ alterar'!$J$2:$M$500,3,FALSE),"")</f>
        <v>Culto missionário</v>
      </c>
      <c r="C313" s="60" t="str">
        <f>IFERROR(VLOOKUP(C311,'traspo ñ alterar'!$J$2:$M$500,3,FALSE),"")</f>
        <v/>
      </c>
      <c r="D313" s="60" t="str">
        <f>IFERROR(VLOOKUP(D311,'traspo ñ alterar'!$J$2:$M$500,3,FALSE),"")</f>
        <v/>
      </c>
      <c r="E313" s="60" t="str">
        <f>IFERROR(VLOOKUP(E311,'traspo ñ alterar'!$J$2:$M$500,3,FALSE),"")</f>
        <v>Dia do Secretário</v>
      </c>
      <c r="F313" s="40" t="str">
        <f>IFERROR(VLOOKUP(F311,'traspo ñ alterar'!$J$2:$M$500,3,FALSE),"")</f>
        <v/>
      </c>
      <c r="G313" s="40" t="str">
        <f>IFERROR(VLOOKUP(G311,'traspo ñ alterar'!$J$2:$M$500,3,FALSE),"")</f>
        <v>Vigília</v>
      </c>
      <c r="H313" s="40" t="str">
        <f>IFERROR(VLOOKUP(H311,'traspo ñ alterar'!$J$2:$M$500,3,FALSE),"")</f>
        <v>Alinhamento das Células</v>
      </c>
      <c r="I313" s="25"/>
      <c r="J313" s="16"/>
      <c r="K313" s="16"/>
      <c r="L313" s="16"/>
    </row>
    <row r="314" ht="15.75" customHeight="1">
      <c r="A314" s="25"/>
      <c r="B314" s="48" t="str">
        <f>IFERROR(VLOOKUP(B311,'traspo ñ alterar'!$J$2:$M$500,4,FALSE),"")</f>
        <v>Concilio Distrital</v>
      </c>
      <c r="C314" s="60" t="str">
        <f>IFERROR(VLOOKUP(C311,'traspo ñ alterar'!$J$2:$M$500,4,FALSE),"")</f>
        <v/>
      </c>
      <c r="D314" s="60" t="str">
        <f>IFERROR(VLOOKUP(D311,'traspo ñ alterar'!$J$2:$M$500,4,FALSE),"")</f>
        <v/>
      </c>
      <c r="E314" s="60" t="str">
        <f>IFERROR(VLOOKUP(E311,'traspo ñ alterar'!$J$2:$M$500,4,FALSE),"")</f>
        <v>Célula</v>
      </c>
      <c r="F314" s="40" t="str">
        <f>IFERROR(VLOOKUP(F311,'traspo ñ alterar'!$J$2:$M$500,4,FALSE),"")</f>
        <v/>
      </c>
      <c r="G314" s="40" t="str">
        <f>IFERROR(VLOOKUP(G311,'traspo ñ alterar'!$J$2:$M$500,4,FALSE),"")</f>
        <v>Sexta cabeceira</v>
      </c>
      <c r="H314" s="40" t="str">
        <f>IFERROR(VLOOKUP(H311,'traspo ñ alterar'!$J$2:$M$500,4,FALSE),"")</f>
        <v/>
      </c>
      <c r="I314" s="25"/>
      <c r="J314" s="16"/>
      <c r="K314" s="16"/>
      <c r="L314" s="16"/>
    </row>
    <row r="315" ht="15.75" customHeight="1">
      <c r="A315" s="53"/>
      <c r="B315" s="69" t="str">
        <f>IFERROR(VLOOKUP(B312,'traspo ñ alterar'!$J$2:$M$500,5,FALSE),"")</f>
        <v/>
      </c>
      <c r="C315" s="66"/>
      <c r="D315" s="66"/>
      <c r="E315" s="66"/>
      <c r="F315" s="42"/>
      <c r="G315" s="42"/>
      <c r="H315" s="42"/>
      <c r="I315" s="53"/>
      <c r="J315" s="16"/>
      <c r="K315" s="16"/>
      <c r="L315" s="16"/>
    </row>
    <row r="316" ht="15.75" customHeight="1">
      <c r="A316" s="25"/>
      <c r="B316" s="37" t="str">
        <f t="array" ref="B316:H316">DiasESemanas+DATE(AnoCalendário,10,1)-WEEKDAY(DATE(AnoCalendário,10,1),(InícioDaSemana="segunda-feira")+1)+8</f>
        <v>4</v>
      </c>
      <c r="C316" s="37">
        <v>46300.0</v>
      </c>
      <c r="D316" s="37">
        <v>46301.0</v>
      </c>
      <c r="E316" s="37">
        <v>46302.0</v>
      </c>
      <c r="F316" s="37">
        <v>46303.0</v>
      </c>
      <c r="G316" s="37">
        <v>46304.0</v>
      </c>
      <c r="H316" s="37">
        <v>46305.0</v>
      </c>
      <c r="I316" s="25"/>
      <c r="J316" s="16"/>
      <c r="K316" s="16"/>
      <c r="L316" s="16"/>
    </row>
    <row r="317" ht="15.75" customHeight="1">
      <c r="A317" s="25"/>
      <c r="B317" s="39" t="str">
        <f>IFERROR(VLOOKUP(B316,'traspo ñ alterar'!$J$2:$M$500,2,FALSE),"")</f>
        <v>Jejum 18h</v>
      </c>
      <c r="C317" s="40" t="str">
        <f>IFERROR(VLOOKUP(C316,'traspo ñ alterar'!$J$2:$M$500,2,FALSE),"")</f>
        <v>Jejum 18h</v>
      </c>
      <c r="D317" s="40" t="str">
        <f>IFERROR(VLOOKUP(D316,'traspo ñ alterar'!$J$2:$M$500,2,FALSE),"")</f>
        <v>Jejum 18h</v>
      </c>
      <c r="E317" s="40" t="str">
        <f>IFERROR(VLOOKUP(E316,'traspo ñ alterar'!$J$2:$M$500,2,FALSE),"")</f>
        <v>Jejum 18h</v>
      </c>
      <c r="F317" s="40" t="str">
        <f>IFERROR(VLOOKUP(F316,'traspo ñ alterar'!$J$2:$M$500,2,FALSE),"")</f>
        <v>Jejum 18h</v>
      </c>
      <c r="G317" s="40" t="str">
        <f>IFERROR(VLOOKUP(G316,'traspo ñ alterar'!$J$2:$M$500,2,FALSE),"")</f>
        <v>Jejum 18h</v>
      </c>
      <c r="H317" s="40" t="str">
        <f>IFERROR(VLOOKUP(H316,'traspo ñ alterar'!$J$2:$M$500,2,FALSE),"")</f>
        <v>Jejum 18h</v>
      </c>
      <c r="I317" s="25"/>
      <c r="J317" s="16"/>
      <c r="K317" s="16"/>
      <c r="L317" s="16"/>
    </row>
    <row r="318" ht="15.75" customHeight="1">
      <c r="A318" s="25"/>
      <c r="B318" s="39" t="str">
        <f>IFERROR(VLOOKUP(B316,'traspo ñ alterar'!$J$2:$M$500,3,FALSE),"")</f>
        <v>Culto em Rio Brilhante</v>
      </c>
      <c r="C318" s="40" t="str">
        <f>IFERROR(VLOOKUP(C316,'traspo ñ alterar'!$J$2:$M$500,3,FALSE),"")</f>
        <v/>
      </c>
      <c r="D318" s="40" t="str">
        <f>IFERROR(VLOOKUP(D316,'traspo ñ alterar'!$J$2:$M$500,3,FALSE),"")</f>
        <v/>
      </c>
      <c r="E318" s="40" t="str">
        <f>IFERROR(VLOOKUP(E316,'traspo ñ alterar'!$J$2:$M$500,3,FALSE),"")</f>
        <v>Célula</v>
      </c>
      <c r="F318" s="40" t="str">
        <f>IFERROR(VLOOKUP(F316,'traspo ñ alterar'!$J$2:$M$500,3,FALSE),"")</f>
        <v>Encontro Mensal de Mulheres</v>
      </c>
      <c r="G318" s="40" t="str">
        <f>IFERROR(VLOOKUP(G316,'traspo ñ alterar'!$J$2:$M$500,3,FALSE),"")</f>
        <v>Sexta cabeceira</v>
      </c>
      <c r="H318" s="40" t="str">
        <f>IFERROR(VLOOKUP(H316,'traspo ñ alterar'!$J$2:$M$500,3,FALSE),"")</f>
        <v>Relogio de oração</v>
      </c>
      <c r="I318" s="25"/>
      <c r="J318" s="16"/>
      <c r="K318" s="16"/>
      <c r="L318" s="16"/>
    </row>
    <row r="319" ht="15.75" customHeight="1">
      <c r="A319" s="25"/>
      <c r="B319" s="39" t="str">
        <f>IFERROR(VLOOKUP(B316,'traspo ñ alterar'!$J$2:$M$500,4,FALSE),"")</f>
        <v/>
      </c>
      <c r="C319" s="40" t="str">
        <f>IFERROR(VLOOKUP(C316,'traspo ñ alterar'!$J$2:$M$500,4,FALSE),"")</f>
        <v/>
      </c>
      <c r="D319" s="40" t="str">
        <f>IFERROR(VLOOKUP(D316,'traspo ñ alterar'!$J$2:$M$500,4,FALSE),"")</f>
        <v/>
      </c>
      <c r="E319" s="40" t="str">
        <f>IFERROR(VLOOKUP(E316,'traspo ñ alterar'!$J$2:$M$500,4,FALSE),"")</f>
        <v/>
      </c>
      <c r="F319" s="40" t="str">
        <f>IFERROR(VLOOKUP(F316,'traspo ñ alterar'!$J$2:$M$500,4,FALSE),"")</f>
        <v/>
      </c>
      <c r="G319" s="40" t="str">
        <f>IFERROR(VLOOKUP(G316,'traspo ñ alterar'!$J$2:$M$500,4,FALSE),"")</f>
        <v/>
      </c>
      <c r="H319" s="40" t="str">
        <f>IFERROR(VLOOKUP(H316,'traspo ñ alterar'!$J$2:$M$500,4,FALSE),"")</f>
        <v>Inteensos</v>
      </c>
      <c r="I319" s="25"/>
      <c r="J319" s="16"/>
      <c r="K319" s="16"/>
      <c r="L319" s="16"/>
    </row>
    <row r="320" ht="15.75" customHeight="1">
      <c r="A320" s="53"/>
      <c r="B320" s="41" t="str">
        <f>IFERROR(VLOOKUP(B317,'traspo ñ alterar'!$J$2:$M$500,5,FALSE),"")</f>
        <v/>
      </c>
      <c r="C320" s="42"/>
      <c r="D320" s="42"/>
      <c r="E320" s="42"/>
      <c r="F320" s="42"/>
      <c r="G320" s="42"/>
      <c r="H320" s="42"/>
      <c r="I320" s="53"/>
      <c r="J320" s="16"/>
      <c r="K320" s="16"/>
      <c r="L320" s="16"/>
    </row>
    <row r="321" ht="15.75" customHeight="1">
      <c r="A321" s="25"/>
      <c r="B321" s="37" t="str">
        <f t="array" ref="B321:H321">DiasESemanas+DATE(AnoCalendário,10,1)-WEEKDAY(DATE(AnoCalendário,10,1),(InícioDaSemana="segunda-feira")+1)+15</f>
        <v>11</v>
      </c>
      <c r="C321" s="37">
        <v>46307.0</v>
      </c>
      <c r="D321" s="37">
        <v>46308.0</v>
      </c>
      <c r="E321" s="37">
        <v>46309.0</v>
      </c>
      <c r="F321" s="37">
        <v>46310.0</v>
      </c>
      <c r="G321" s="37">
        <v>46311.0</v>
      </c>
      <c r="H321" s="37">
        <v>46312.0</v>
      </c>
      <c r="I321" s="25"/>
      <c r="J321" s="16"/>
      <c r="K321" s="16"/>
      <c r="L321" s="16"/>
    </row>
    <row r="322" ht="15.75" customHeight="1">
      <c r="A322" s="25"/>
      <c r="B322" s="39" t="str">
        <f>IFERROR(VLOOKUP(B321,'traspo ñ alterar'!$J$2:$M$500,2,FALSE),"")</f>
        <v>Dia das Crianças/EBD</v>
      </c>
      <c r="C322" s="40" t="str">
        <f>IFERROR(VLOOKUP(C321,'traspo ñ alterar'!$J$2:$M$500,2,FALSE),"")</f>
        <v>Pescaria</v>
      </c>
      <c r="D322" s="40" t="str">
        <f>IFERROR(VLOOKUP(D321,'traspo ñ alterar'!$J$2:$M$500,2,FALSE),"")</f>
        <v/>
      </c>
      <c r="E322" s="40" t="str">
        <f>IFERROR(VLOOKUP(E321,'traspo ñ alterar'!$J$2:$M$500,2,FALSE),"")</f>
        <v>Célula</v>
      </c>
      <c r="F322" s="40" t="str">
        <f>IFERROR(VLOOKUP(F321,'traspo ñ alterar'!$J$2:$M$500,2,FALSE),"")</f>
        <v>Dia dos professores</v>
      </c>
      <c r="G322" s="40" t="str">
        <f>IFERROR(VLOOKUP(G321,'traspo ñ alterar'!$J$2:$M$500,2,FALSE),"")</f>
        <v>Reencontro com Deus</v>
      </c>
      <c r="H322" s="40" t="str">
        <f>IFERROR(VLOOKUP(H321,'traspo ñ alterar'!$J$2:$M$500,2,FALSE),"")</f>
        <v>Reencontro com Deus </v>
      </c>
      <c r="I322" s="25"/>
      <c r="J322" s="16"/>
      <c r="K322" s="16"/>
      <c r="L322" s="16"/>
    </row>
    <row r="323" ht="15.75" customHeight="1">
      <c r="A323" s="25"/>
      <c r="B323" s="39" t="str">
        <f>IFERROR(VLOOKUP(B321,'traspo ñ alterar'!$J$2:$M$500,3,FALSE),"")</f>
        <v>Cantina prol GE</v>
      </c>
      <c r="C323" s="40" t="str">
        <f>IFERROR(VLOOKUP(C321,'traspo ñ alterar'!$J$2:$M$500,3,FALSE),"")</f>
        <v/>
      </c>
      <c r="D323" s="40" t="str">
        <f>IFERROR(VLOOKUP(D321,'traspo ñ alterar'!$J$2:$M$500,3,FALSE),"")</f>
        <v/>
      </c>
      <c r="E323" s="40" t="str">
        <f>IFERROR(VLOOKUP(E321,'traspo ñ alterar'!$J$2:$M$500,3,FALSE),"")</f>
        <v/>
      </c>
      <c r="F323" s="40" t="str">
        <f>IFERROR(VLOOKUP(F321,'traspo ñ alterar'!$J$2:$M$500,3,FALSE),"")</f>
        <v>Culto de homens</v>
      </c>
      <c r="G323" s="40" t="str">
        <f>IFERROR(VLOOKUP(G321,'traspo ñ alterar'!$J$2:$M$500,3,FALSE),"")</f>
        <v>Sexta cabeceira</v>
      </c>
      <c r="H323" s="40" t="str">
        <f>IFERROR(VLOOKUP(H321,'traspo ñ alterar'!$J$2:$M$500,3,FALSE),"")</f>
        <v/>
      </c>
      <c r="I323" s="25"/>
      <c r="J323" s="16"/>
      <c r="K323" s="16"/>
      <c r="L323" s="16"/>
    </row>
    <row r="324" ht="15.75" customHeight="1">
      <c r="A324" s="25"/>
      <c r="B324" s="39" t="str">
        <f>IFERROR(VLOOKUP(B321,'traspo ñ alterar'!$J$2:$M$500,4,FALSE),"")</f>
        <v/>
      </c>
      <c r="C324" s="40" t="str">
        <f>IFERROR(VLOOKUP(C321,'traspo ñ alterar'!$J$2:$M$500,4,FALSE),"")</f>
        <v/>
      </c>
      <c r="D324" s="40" t="str">
        <f>IFERROR(VLOOKUP(D321,'traspo ñ alterar'!$J$2:$M$500,4,FALSE),"")</f>
        <v/>
      </c>
      <c r="E324" s="40" t="str">
        <f>IFERROR(VLOOKUP(E321,'traspo ñ alterar'!$J$2:$M$500,4,FALSE),"")</f>
        <v/>
      </c>
      <c r="F324" s="40" t="str">
        <f>IFERROR(VLOOKUP(F321,'traspo ñ alterar'!$J$2:$M$500,4,FALSE),"")</f>
        <v/>
      </c>
      <c r="G324" s="40" t="str">
        <f>IFERROR(VLOOKUP(G321,'traspo ñ alterar'!$J$2:$M$500,4,FALSE),"")</f>
        <v/>
      </c>
      <c r="H324" s="40" t="str">
        <f>IFERROR(VLOOKUP(H321,'traspo ñ alterar'!$J$2:$M$500,4,FALSE),"")</f>
        <v/>
      </c>
      <c r="I324" s="25"/>
      <c r="J324" s="16"/>
      <c r="K324" s="16"/>
      <c r="L324" s="16"/>
    </row>
    <row r="325" ht="15.75" customHeight="1">
      <c r="A325" s="53"/>
      <c r="B325" s="41" t="str">
        <f>IFERROR(VLOOKUP(B322,'traspo ñ alterar'!$J$2:$M$500,5,FALSE),"")</f>
        <v/>
      </c>
      <c r="C325" s="42"/>
      <c r="D325" s="42"/>
      <c r="E325" s="42"/>
      <c r="F325" s="42"/>
      <c r="G325" s="42"/>
      <c r="H325" s="42"/>
      <c r="I325" s="53"/>
      <c r="J325" s="16"/>
      <c r="K325" s="16"/>
      <c r="L325" s="16"/>
    </row>
    <row r="326" ht="15.75" customHeight="1">
      <c r="A326" s="25"/>
      <c r="B326" s="37" t="str">
        <f t="array" ref="B326:H326">DiasESemanas+DATE(AnoCalendário,10,1)-WEEKDAY(DATE(AnoCalendário,10,1),(InícioDaSemana="segunda-feira")+1)+22</f>
        <v>18</v>
      </c>
      <c r="C326" s="37">
        <v>46314.0</v>
      </c>
      <c r="D326" s="37">
        <v>46315.0</v>
      </c>
      <c r="E326" s="37">
        <v>46316.0</v>
      </c>
      <c r="F326" s="37">
        <v>46317.0</v>
      </c>
      <c r="G326" s="37">
        <v>46318.0</v>
      </c>
      <c r="H326" s="37">
        <v>46319.0</v>
      </c>
      <c r="I326" s="25"/>
      <c r="J326" s="16"/>
      <c r="K326" s="16"/>
      <c r="L326" s="16"/>
    </row>
    <row r="327" ht="15.75" customHeight="1">
      <c r="A327" s="25"/>
      <c r="B327" s="39" t="str">
        <f>IFERROR(VLOOKUP(B326,'traspo ñ alterar'!$J$2:$M$500,2,FALSE),"")</f>
        <v>Reencontro com Deus </v>
      </c>
      <c r="C327" s="40" t="str">
        <f>IFERROR(VLOOKUP(C326,'traspo ñ alterar'!$J$2:$M$500,2,FALSE),"")</f>
        <v/>
      </c>
      <c r="D327" s="40" t="str">
        <f>IFERROR(VLOOKUP(D326,'traspo ñ alterar'!$J$2:$M$500,2,FALSE),"")</f>
        <v/>
      </c>
      <c r="E327" s="40" t="str">
        <f>IFERROR(VLOOKUP(E326,'traspo ñ alterar'!$J$2:$M$500,2,FALSE),"")</f>
        <v>Célula</v>
      </c>
      <c r="F327" s="40" t="str">
        <f>IFERROR(VLOOKUP(F326,'traspo ñ alterar'!$J$2:$M$500,2,FALSE),"")</f>
        <v>Futebol </v>
      </c>
      <c r="G327" s="40" t="str">
        <f>IFERROR(VLOOKUP(G326,'traspo ñ alterar'!$J$2:$M$500,2,FALSE),"")</f>
        <v>Sexta cabeceira</v>
      </c>
      <c r="H327" s="40" t="str">
        <f>IFERROR(VLOOKUP(H326,'traspo ñ alterar'!$J$2:$M$500,2,FALSE),"")</f>
        <v>Marcha para Jesus</v>
      </c>
      <c r="I327" s="25"/>
      <c r="J327" s="16"/>
      <c r="K327" s="16"/>
      <c r="L327" s="16"/>
    </row>
    <row r="328" ht="15.75" customHeight="1">
      <c r="A328" s="25"/>
      <c r="B328" s="39" t="str">
        <f>IFERROR(VLOOKUP(B326,'traspo ñ alterar'!$J$2:$M$500,3,FALSE),"")</f>
        <v>Culto do Bebê</v>
      </c>
      <c r="C328" s="40" t="str">
        <f>IFERROR(VLOOKUP(C326,'traspo ñ alterar'!$J$2:$M$500,3,FALSE),"")</f>
        <v/>
      </c>
      <c r="D328" s="40" t="str">
        <f>IFERROR(VLOOKUP(D326,'traspo ñ alterar'!$J$2:$M$500,3,FALSE),"")</f>
        <v/>
      </c>
      <c r="E328" s="40" t="str">
        <f>IFERROR(VLOOKUP(E326,'traspo ñ alterar'!$J$2:$M$500,3,FALSE),"")</f>
        <v/>
      </c>
      <c r="F328" s="40" t="str">
        <f>IFERROR(VLOOKUP(F326,'traspo ñ alterar'!$J$2:$M$500,3,FALSE),"")</f>
        <v/>
      </c>
      <c r="G328" s="40" t="str">
        <f>IFERROR(VLOOKUP(G326,'traspo ñ alterar'!$J$2:$M$500,3,FALSE),"")</f>
        <v/>
      </c>
      <c r="H328" s="40" t="str">
        <f>IFERROR(VLOOKUP(H326,'traspo ñ alterar'!$J$2:$M$500,3,FALSE),"")</f>
        <v/>
      </c>
      <c r="I328" s="25"/>
      <c r="J328" s="16"/>
      <c r="K328" s="16"/>
      <c r="L328" s="16"/>
    </row>
    <row r="329" ht="15.75" customHeight="1">
      <c r="A329" s="25"/>
      <c r="B329" s="39" t="str">
        <f>IFERROR(VLOOKUP(B326,'traspo ñ alterar'!$J$2:$M$500,4,FALSE),"")</f>
        <v/>
      </c>
      <c r="C329" s="40" t="str">
        <f>IFERROR(VLOOKUP(C326,'traspo ñ alterar'!$J$2:$M$500,4,FALSE),"")</f>
        <v/>
      </c>
      <c r="D329" s="40" t="str">
        <f>IFERROR(VLOOKUP(D326,'traspo ñ alterar'!$J$2:$M$500,4,FALSE),"")</f>
        <v/>
      </c>
      <c r="E329" s="40" t="str">
        <f>IFERROR(VLOOKUP(E326,'traspo ñ alterar'!$J$2:$M$500,4,FALSE),"")</f>
        <v/>
      </c>
      <c r="F329" s="40" t="str">
        <f>IFERROR(VLOOKUP(F326,'traspo ñ alterar'!$J$2:$M$500,4,FALSE),"")</f>
        <v/>
      </c>
      <c r="G329" s="40" t="str">
        <f>IFERROR(VLOOKUP(G326,'traspo ñ alterar'!$J$2:$M$500,4,FALSE),"")</f>
        <v/>
      </c>
      <c r="H329" s="40" t="str">
        <f>IFERROR(VLOOKUP(H326,'traspo ñ alterar'!$J$2:$M$500,4,FALSE),"")</f>
        <v/>
      </c>
      <c r="I329" s="25"/>
      <c r="J329" s="16"/>
      <c r="K329" s="16"/>
      <c r="L329" s="16"/>
    </row>
    <row r="330" ht="15.75" customHeight="1">
      <c r="A330" s="53"/>
      <c r="B330" s="41" t="str">
        <f>IFERROR(VLOOKUP(B327,'traspo ñ alterar'!$J$2:$M$500,5,FALSE),"")</f>
        <v/>
      </c>
      <c r="C330" s="42"/>
      <c r="D330" s="42"/>
      <c r="E330" s="42"/>
      <c r="F330" s="42"/>
      <c r="G330" s="42"/>
      <c r="H330" s="42"/>
      <c r="I330" s="53"/>
      <c r="J330" s="16"/>
      <c r="K330" s="16"/>
      <c r="L330" s="16"/>
    </row>
    <row r="331" ht="15.75" customHeight="1">
      <c r="A331" s="25"/>
      <c r="B331" s="37" t="str">
        <f t="array" ref="B331:H331">DiasESemanas+DATE(AnoCalendário,10,1)-WEEKDAY(DATE(AnoCalendário,10,1),(InícioDaSemana="segunda-feira")+1)+29</f>
        <v>25</v>
      </c>
      <c r="C331" s="37">
        <v>46321.0</v>
      </c>
      <c r="D331" s="37">
        <v>46322.0</v>
      </c>
      <c r="E331" s="37">
        <v>46323.0</v>
      </c>
      <c r="F331" s="37">
        <v>46324.0</v>
      </c>
      <c r="G331" s="37">
        <v>46325.0</v>
      </c>
      <c r="H331" s="37">
        <v>46326.0</v>
      </c>
      <c r="I331" s="25"/>
      <c r="J331" s="16"/>
      <c r="K331" s="16"/>
      <c r="L331" s="16"/>
    </row>
    <row r="332" ht="15.75" customHeight="1">
      <c r="A332" s="25"/>
      <c r="B332" s="39" t="str">
        <f>IFERROR(VLOOKUP(B331,'traspo ñ alterar'!$J$2:$M$500,2,FALSE),"")</f>
        <v>Culto missionário</v>
      </c>
      <c r="C332" s="40" t="str">
        <f>IFERROR(VLOOKUP(C331,'traspo ñ alterar'!$J$2:$M$500,2,FALSE),"")</f>
        <v/>
      </c>
      <c r="D332" s="40" t="str">
        <f>IFERROR(VLOOKUP(D331,'traspo ñ alterar'!$J$2:$M$500,2,FALSE),"")</f>
        <v/>
      </c>
      <c r="E332" s="40" t="str">
        <f>IFERROR(VLOOKUP(E331,'traspo ñ alterar'!$J$2:$M$500,2,FALSE),"")</f>
        <v>Célula</v>
      </c>
      <c r="F332" s="40" t="str">
        <f>IFERROR(VLOOKUP(F331,'traspo ñ alterar'!$J$2:$M$500,2,FALSE),"")</f>
        <v/>
      </c>
      <c r="G332" s="40" t="str">
        <f>IFERROR(VLOOKUP(G331,'traspo ñ alterar'!$J$2:$M$500,2,FALSE),"")</f>
        <v>Sexta cabeceira</v>
      </c>
      <c r="H332" s="40" t="str">
        <f>IFERROR(VLOOKUP(H331,'traspo ñ alterar'!$J$2:$M$500,2,FALSE),"")</f>
        <v>Outside</v>
      </c>
      <c r="I332" s="25"/>
      <c r="J332" s="16"/>
      <c r="K332" s="16"/>
      <c r="L332" s="16"/>
    </row>
    <row r="333" ht="15.75" customHeight="1">
      <c r="A333" s="25"/>
      <c r="B333" s="39" t="str">
        <f>IFERROR(VLOOKUP(B331,'traspo ñ alterar'!$J$2:$M$500,3,FALSE),"")</f>
        <v/>
      </c>
      <c r="C333" s="40" t="str">
        <f>IFERROR(VLOOKUP(C331,'traspo ñ alterar'!$J$2:$M$500,3,FALSE),"")</f>
        <v/>
      </c>
      <c r="D333" s="40" t="str">
        <f>IFERROR(VLOOKUP(D331,'traspo ñ alterar'!$J$2:$M$500,3,FALSE),"")</f>
        <v/>
      </c>
      <c r="E333" s="40" t="str">
        <f>IFERROR(VLOOKUP(E331,'traspo ñ alterar'!$J$2:$M$500,3,FALSE),"")</f>
        <v/>
      </c>
      <c r="F333" s="40" t="str">
        <f>IFERROR(VLOOKUP(F331,'traspo ñ alterar'!$J$2:$M$500,3,FALSE),"")</f>
        <v/>
      </c>
      <c r="G333" s="40" t="str">
        <f>IFERROR(VLOOKUP(G331,'traspo ñ alterar'!$J$2:$M$500,3,FALSE),"")</f>
        <v/>
      </c>
      <c r="H333" s="40" t="str">
        <f>IFERROR(VLOOKUP(H331,'traspo ñ alterar'!$J$2:$M$500,3,FALSE),"")</f>
        <v/>
      </c>
      <c r="I333" s="25"/>
      <c r="J333" s="16"/>
      <c r="K333" s="16"/>
      <c r="L333" s="16"/>
    </row>
    <row r="334" ht="15.75" customHeight="1">
      <c r="A334" s="25"/>
      <c r="B334" s="39" t="str">
        <f>IFERROR(VLOOKUP(B331,'traspo ñ alterar'!$J$2:$M$500,4,FALSE),"")</f>
        <v/>
      </c>
      <c r="C334" s="40" t="str">
        <f>IFERROR(VLOOKUP(C331,'traspo ñ alterar'!$J$2:$M$500,4,FALSE),"")</f>
        <v/>
      </c>
      <c r="D334" s="40" t="str">
        <f>IFERROR(VLOOKUP(D331,'traspo ñ alterar'!$J$2:$M$500,4,FALSE),"")</f>
        <v/>
      </c>
      <c r="E334" s="40" t="str">
        <f>IFERROR(VLOOKUP(E331,'traspo ñ alterar'!$J$2:$M$500,4,FALSE),"")</f>
        <v/>
      </c>
      <c r="F334" s="40" t="str">
        <f>IFERROR(VLOOKUP(F331,'traspo ñ alterar'!$J$2:$M$500,4,FALSE),"")</f>
        <v/>
      </c>
      <c r="G334" s="40" t="str">
        <f>IFERROR(VLOOKUP(G331,'traspo ñ alterar'!$J$2:$M$500,4,FALSE),"")</f>
        <v/>
      </c>
      <c r="H334" s="40" t="str">
        <f>IFERROR(VLOOKUP(H331,'traspo ñ alterar'!$J$2:$M$500,4,FALSE),"")</f>
        <v/>
      </c>
      <c r="I334" s="25"/>
      <c r="J334" s="16"/>
      <c r="K334" s="16"/>
      <c r="L334" s="16"/>
    </row>
    <row r="335" ht="15.75" customHeight="1">
      <c r="A335" s="53"/>
      <c r="B335" s="41" t="str">
        <f>IFERROR(VLOOKUP(B332,'traspo ñ alterar'!$J$2:$M$500,5,FALSE),"")</f>
        <v/>
      </c>
      <c r="C335" s="42"/>
      <c r="D335" s="42"/>
      <c r="E335" s="42"/>
      <c r="F335" s="42"/>
      <c r="G335" s="42"/>
      <c r="H335" s="42"/>
      <c r="I335" s="53"/>
      <c r="J335" s="16"/>
      <c r="K335" s="16"/>
      <c r="L335" s="16"/>
    </row>
    <row r="336" ht="15.75" customHeight="1">
      <c r="A336" s="25"/>
      <c r="B336" s="37" t="str">
        <f t="array" ref="B336:C336">DiasESemanas+DATE(AnoCalendário,10,1)-WEEKDAY(DATE(AnoCalendário,10,1),(InícioDaSemana="segunda-feira")+1)+36</f>
        <v>1</v>
      </c>
      <c r="C336" s="37">
        <v>46328.0</v>
      </c>
      <c r="D336" s="51" t="s">
        <v>133</v>
      </c>
      <c r="H336" s="63"/>
      <c r="I336" s="25"/>
      <c r="J336" s="16"/>
      <c r="K336" s="16"/>
      <c r="L336" s="16"/>
    </row>
    <row r="337" ht="15.75" customHeight="1">
      <c r="A337" s="25"/>
      <c r="B337" s="48" t="str">
        <f>IFERROR(VLOOKUP(B336,'traspo ñ alterar'!$J$2:$M$500,2,FALSE),"")</f>
        <v>Culto em Rio Brilhante</v>
      </c>
      <c r="C337" s="60" t="str">
        <f>IFERROR(VLOOKUP(C336,'traspo ñ alterar'!$J$2:$M$500,2,FALSE),"")</f>
        <v>Retiro de homens</v>
      </c>
      <c r="D337" s="51"/>
      <c r="E337" s="51"/>
      <c r="F337" s="51"/>
      <c r="G337" s="51"/>
      <c r="H337" s="52"/>
      <c r="I337" s="25"/>
      <c r="J337" s="16"/>
      <c r="K337" s="16"/>
      <c r="L337" s="16"/>
    </row>
    <row r="338" ht="15.75" customHeight="1">
      <c r="A338" s="25"/>
      <c r="B338" s="48" t="str">
        <f>IFERROR(VLOOKUP(B336,'traspo ñ alterar'!$J$2:$M$500,3,FALSE),"")</f>
        <v/>
      </c>
      <c r="C338" s="60" t="str">
        <f>IFERROR(VLOOKUP(C336,'traspo ñ alterar'!$J$2:$M$500,3,FALSE),"")</f>
        <v/>
      </c>
      <c r="D338" s="51"/>
      <c r="E338" s="51"/>
      <c r="F338" s="51"/>
      <c r="G338" s="51"/>
      <c r="H338" s="52"/>
      <c r="I338" s="25"/>
      <c r="J338" s="16"/>
      <c r="K338" s="16"/>
      <c r="L338" s="16"/>
    </row>
    <row r="339" ht="15.75" customHeight="1">
      <c r="A339" s="25"/>
      <c r="B339" s="48" t="str">
        <f>IFERROR(VLOOKUP(B336,'traspo ñ alterar'!$J$2:$M$500,4,FALSE),"")</f>
        <v/>
      </c>
      <c r="C339" s="60" t="str">
        <f>IFERROR(VLOOKUP(C336,'traspo ñ alterar'!$J$2:$M$500,4,FALSE),"")</f>
        <v/>
      </c>
      <c r="D339" s="51"/>
      <c r="E339" s="51"/>
      <c r="F339" s="51"/>
      <c r="G339" s="51"/>
      <c r="H339" s="52"/>
      <c r="I339" s="25"/>
      <c r="J339" s="16"/>
      <c r="K339" s="16"/>
      <c r="L339" s="16"/>
    </row>
    <row r="340" ht="15.75" customHeight="1">
      <c r="A340" s="53"/>
      <c r="B340" s="54" t="str">
        <f>IFERROR(VLOOKUP(B337,'traspo ñ alterar'!$J$2:$M$500,5,FALSE),"")</f>
        <v/>
      </c>
      <c r="C340" s="55"/>
      <c r="D340" s="68"/>
      <c r="E340" s="57"/>
      <c r="F340" s="57"/>
      <c r="G340" s="57"/>
      <c r="H340" s="58"/>
      <c r="I340" s="53"/>
      <c r="J340" s="16"/>
      <c r="K340" s="16"/>
      <c r="L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 t="s">
        <v>128</v>
      </c>
      <c r="J342" s="16"/>
      <c r="K342" s="16"/>
      <c r="L342" s="16"/>
    </row>
    <row r="343" ht="15.75" customHeight="1">
      <c r="A343" s="16"/>
      <c r="B343" s="17" t="str">
        <f>"Novembro "&amp;AnoCalendário</f>
        <v>Novembro 2026</v>
      </c>
      <c r="E343" s="18"/>
      <c r="F343" s="18"/>
      <c r="G343" s="18"/>
      <c r="H343" s="19"/>
      <c r="I343" s="16"/>
      <c r="J343" s="16"/>
      <c r="K343" s="16"/>
      <c r="L343" s="16"/>
    </row>
    <row r="344" ht="15.75" customHeight="1">
      <c r="A344" s="20"/>
      <c r="B344" s="22" t="str">
        <f>InícioDaSemana</f>
        <v>domingo</v>
      </c>
      <c r="C344" s="22" t="str">
        <f t="shared" ref="C344:H344" si="11">TEXT(C345,"dddd")</f>
        <v>Monday</v>
      </c>
      <c r="D344" s="22" t="str">
        <f t="shared" si="11"/>
        <v>Tuesday</v>
      </c>
      <c r="E344" s="22" t="str">
        <f t="shared" si="11"/>
        <v>Wednesday</v>
      </c>
      <c r="F344" s="22" t="str">
        <f t="shared" si="11"/>
        <v>Thursday</v>
      </c>
      <c r="G344" s="22" t="str">
        <f t="shared" si="11"/>
        <v>Friday</v>
      </c>
      <c r="H344" s="22" t="str">
        <f t="shared" si="11"/>
        <v>Saturday</v>
      </c>
      <c r="I344" s="20"/>
      <c r="J344" s="16"/>
      <c r="K344" s="16"/>
      <c r="L344" s="16"/>
    </row>
    <row r="345" ht="15.75" customHeight="1">
      <c r="A345" s="25"/>
      <c r="B345" s="27" t="str">
        <f t="array" ref="B345:H345">DiasESemanas+DATE(AnoCalendário,11,1)-WEEKDAY(DATE(AnoCalendário,11,1),(InícioDaSemana="segunda-feira")+1)+1</f>
        <v>1</v>
      </c>
      <c r="C345" s="27">
        <v>46328.0</v>
      </c>
      <c r="D345" s="27">
        <v>46329.0</v>
      </c>
      <c r="E345" s="27">
        <v>46330.0</v>
      </c>
      <c r="F345" s="27">
        <v>46331.0</v>
      </c>
      <c r="G345" s="27">
        <v>46332.0</v>
      </c>
      <c r="H345" s="27">
        <v>46333.0</v>
      </c>
      <c r="I345" s="25"/>
      <c r="J345" s="16"/>
      <c r="K345" s="16"/>
      <c r="L345" s="16"/>
    </row>
    <row r="346" ht="15.75" customHeight="1">
      <c r="A346" s="25"/>
      <c r="B346" s="39" t="str">
        <f>IFERROR(VLOOKUP(B345,'traspo ñ alterar'!$J$2:$M$500,2,FALSE),"")</f>
        <v>Culto em Rio Brilhante</v>
      </c>
      <c r="C346" s="40" t="str">
        <f>IFERROR(VLOOKUP(C345,'traspo ñ alterar'!$J$2:$M$500,2,FALSE),"")</f>
        <v>Retiro de homens</v>
      </c>
      <c r="D346" s="40" t="str">
        <f>IFERROR(VLOOKUP(D345,'traspo ñ alterar'!$J$2:$M$500,2,FALSE),"")</f>
        <v/>
      </c>
      <c r="E346" s="40" t="str">
        <f>IFERROR(VLOOKUP(E345,'traspo ñ alterar'!$J$2:$M$500,2,FALSE),"")</f>
        <v>Célula</v>
      </c>
      <c r="F346" s="40" t="str">
        <f>IFERROR(VLOOKUP(F345,'traspo ñ alterar'!$J$2:$M$500,2,FALSE),"")</f>
        <v/>
      </c>
      <c r="G346" s="40" t="str">
        <f>IFERROR(VLOOKUP(G345,'traspo ñ alterar'!$J$2:$M$500,2,FALSE),"")</f>
        <v>Vigília</v>
      </c>
      <c r="H346" s="40" t="str">
        <f>IFERROR(VLOOKUP(H345,'traspo ñ alterar'!$J$2:$M$500,2,FALSE),"")</f>
        <v>Inteensos</v>
      </c>
      <c r="I346" s="25"/>
      <c r="J346" s="16"/>
      <c r="K346" s="16"/>
      <c r="L346" s="16"/>
    </row>
    <row r="347" ht="15.75" customHeight="1">
      <c r="A347" s="25"/>
      <c r="B347" s="39" t="str">
        <f>IFERROR(VLOOKUP(B345,'traspo ñ alterar'!$J$2:$M$500,3,FALSE),"")</f>
        <v/>
      </c>
      <c r="C347" s="40" t="str">
        <f>IFERROR(VLOOKUP(C345,'traspo ñ alterar'!$J$2:$M$500,3,FALSE),"")</f>
        <v/>
      </c>
      <c r="D347" s="40" t="str">
        <f>IFERROR(VLOOKUP(D345,'traspo ñ alterar'!$J$2:$M$500,3,FALSE),"")</f>
        <v/>
      </c>
      <c r="E347" s="40" t="str">
        <f>IFERROR(VLOOKUP(E345,'traspo ñ alterar'!$J$2:$M$500,3,FALSE),"")</f>
        <v/>
      </c>
      <c r="F347" s="40" t="str">
        <f>IFERROR(VLOOKUP(F345,'traspo ñ alterar'!$J$2:$M$500,3,FALSE),"")</f>
        <v/>
      </c>
      <c r="G347" s="40" t="str">
        <f>IFERROR(VLOOKUP(G345,'traspo ñ alterar'!$J$2:$M$500,3,FALSE),"")</f>
        <v>Sexta cabeceira</v>
      </c>
      <c r="H347" s="40" t="str">
        <f>IFERROR(VLOOKUP(H345,'traspo ñ alterar'!$J$2:$M$500,3,FALSE),"")</f>
        <v/>
      </c>
      <c r="I347" s="25"/>
      <c r="J347" s="16"/>
      <c r="K347" s="16"/>
      <c r="L347" s="16"/>
    </row>
    <row r="348" ht="15.75" customHeight="1">
      <c r="A348" s="25"/>
      <c r="B348" s="39" t="str">
        <f>IFERROR(VLOOKUP(B345,'traspo ñ alterar'!$J$2:$M$500,4,FALSE),"")</f>
        <v/>
      </c>
      <c r="C348" s="40" t="str">
        <f>IFERROR(VLOOKUP(C345,'traspo ñ alterar'!$J$2:$M$500,4,FALSE),"")</f>
        <v/>
      </c>
      <c r="D348" s="40" t="str">
        <f>IFERROR(VLOOKUP(D345,'traspo ñ alterar'!$J$2:$M$500,4,FALSE),"")</f>
        <v/>
      </c>
      <c r="E348" s="40" t="str">
        <f>IFERROR(VLOOKUP(E345,'traspo ñ alterar'!$J$2:$M$500,4,FALSE),"")</f>
        <v/>
      </c>
      <c r="F348" s="40" t="str">
        <f>IFERROR(VLOOKUP(F345,'traspo ñ alterar'!$J$2:$M$500,4,FALSE),"")</f>
        <v/>
      </c>
      <c r="G348" s="40" t="str">
        <f>IFERROR(VLOOKUP(G345,'traspo ñ alterar'!$J$2:$M$500,4,FALSE),"")</f>
        <v/>
      </c>
      <c r="H348" s="40" t="str">
        <f>IFERROR(VLOOKUP(H345,'traspo ñ alterar'!$J$2:$M$500,4,FALSE),"")</f>
        <v/>
      </c>
      <c r="I348" s="25"/>
      <c r="J348" s="16"/>
      <c r="K348" s="16"/>
      <c r="L348" s="16"/>
    </row>
    <row r="349" ht="15.75" customHeight="1">
      <c r="A349" s="53"/>
      <c r="B349" s="41" t="str">
        <f>IFERROR(VLOOKUP(B346,'traspo ñ alterar'!$J$2:$M$500,5,FALSE),"")</f>
        <v/>
      </c>
      <c r="C349" s="42"/>
      <c r="D349" s="42"/>
      <c r="E349" s="42"/>
      <c r="F349" s="42"/>
      <c r="G349" s="42"/>
      <c r="H349" s="42"/>
      <c r="I349" s="53"/>
      <c r="J349" s="16"/>
      <c r="K349" s="16"/>
      <c r="L349" s="16"/>
    </row>
    <row r="350" ht="15.75" customHeight="1">
      <c r="A350" s="25"/>
      <c r="B350" s="37" t="str">
        <f t="array" ref="B350:H350">DiasESemanas+DATE(AnoCalendário,11,1)-WEEKDAY(DATE(AnoCalendário,11,1),(InícioDaSemana="segunda-feira")+1)+8</f>
        <v>8</v>
      </c>
      <c r="C350" s="37">
        <v>46335.0</v>
      </c>
      <c r="D350" s="37">
        <v>46336.0</v>
      </c>
      <c r="E350" s="37">
        <v>46337.0</v>
      </c>
      <c r="F350" s="37">
        <v>46338.0</v>
      </c>
      <c r="G350" s="37">
        <v>46339.0</v>
      </c>
      <c r="H350" s="37">
        <v>46340.0</v>
      </c>
      <c r="I350" s="25"/>
      <c r="J350" s="16"/>
      <c r="K350" s="16"/>
      <c r="L350" s="16"/>
    </row>
    <row r="351" ht="15.75" customHeight="1">
      <c r="A351" s="25"/>
      <c r="B351" s="39" t="str">
        <f>IFERROR(VLOOKUP(B350,'traspo ñ alterar'!$J$2:$M$500,2,FALSE),"")</f>
        <v>2º Promoção</v>
      </c>
      <c r="C351" s="40" t="str">
        <f>IFERROR(VLOOKUP(C350,'traspo ñ alterar'!$J$2:$M$500,2,FALSE),"")</f>
        <v/>
      </c>
      <c r="D351" s="40" t="str">
        <f>IFERROR(VLOOKUP(D350,'traspo ñ alterar'!$J$2:$M$500,2,FALSE),"")</f>
        <v/>
      </c>
      <c r="E351" s="40" t="str">
        <f>IFERROR(VLOOKUP(E350,'traspo ñ alterar'!$J$2:$M$500,2,FALSE),"")</f>
        <v>Célula</v>
      </c>
      <c r="F351" s="40" t="str">
        <f>IFERROR(VLOOKUP(F350,'traspo ñ alterar'!$J$2:$M$500,2,FALSE),"")</f>
        <v>Culto de homens</v>
      </c>
      <c r="G351" s="40" t="str">
        <f>IFERROR(VLOOKUP(G350,'traspo ñ alterar'!$J$2:$M$500,2,FALSE),"")</f>
        <v>Sexta cabeceira</v>
      </c>
      <c r="H351" s="40" t="str">
        <f>IFERROR(VLOOKUP(H350,'traspo ñ alterar'!$J$2:$M$500,2,FALSE),"")</f>
        <v>Fire Kids Pais e Filhos.</v>
      </c>
      <c r="I351" s="25"/>
      <c r="J351" s="16"/>
      <c r="K351" s="16"/>
      <c r="L351" s="16"/>
    </row>
    <row r="352" ht="15.75" customHeight="1">
      <c r="A352" s="25"/>
      <c r="B352" s="39" t="str">
        <f>IFERROR(VLOOKUP(B350,'traspo ñ alterar'!$J$2:$M$500,3,FALSE),"")</f>
        <v>Cantina prol GE</v>
      </c>
      <c r="C352" s="40" t="str">
        <f>IFERROR(VLOOKUP(C350,'traspo ñ alterar'!$J$2:$M$500,3,FALSE),"")</f>
        <v/>
      </c>
      <c r="D352" s="40" t="str">
        <f>IFERROR(VLOOKUP(D350,'traspo ñ alterar'!$J$2:$M$500,3,FALSE),"")</f>
        <v/>
      </c>
      <c r="E352" s="40" t="str">
        <f>IFERROR(VLOOKUP(E350,'traspo ñ alterar'!$J$2:$M$500,3,FALSE),"")</f>
        <v/>
      </c>
      <c r="F352" s="40" t="str">
        <f>IFERROR(VLOOKUP(F350,'traspo ñ alterar'!$J$2:$M$500,3,FALSE),"")</f>
        <v/>
      </c>
      <c r="G352" s="40" t="str">
        <f>IFERROR(VLOOKUP(G350,'traspo ñ alterar'!$J$2:$M$500,3,FALSE),"")</f>
        <v/>
      </c>
      <c r="H352" s="40" t="str">
        <f>IFERROR(VLOOKUP(H350,'traspo ñ alterar'!$J$2:$M$500,3,FALSE),"")</f>
        <v/>
      </c>
      <c r="I352" s="25"/>
      <c r="J352" s="16"/>
      <c r="K352" s="16"/>
      <c r="L352" s="16"/>
    </row>
    <row r="353" ht="15.75" customHeight="1">
      <c r="A353" s="25"/>
      <c r="B353" s="39" t="str">
        <f>IFERROR(VLOOKUP(B350,'traspo ñ alterar'!$J$2:$M$500,4,FALSE),"")</f>
        <v/>
      </c>
      <c r="C353" s="40" t="str">
        <f>IFERROR(VLOOKUP(C350,'traspo ñ alterar'!$J$2:$M$500,4,FALSE),"")</f>
        <v/>
      </c>
      <c r="D353" s="40" t="str">
        <f>IFERROR(VLOOKUP(D350,'traspo ñ alterar'!$J$2:$M$500,4,FALSE),"")</f>
        <v/>
      </c>
      <c r="E353" s="40" t="str">
        <f>IFERROR(VLOOKUP(E350,'traspo ñ alterar'!$J$2:$M$500,4,FALSE),"")</f>
        <v/>
      </c>
      <c r="F353" s="40" t="str">
        <f>IFERROR(VLOOKUP(F350,'traspo ñ alterar'!$J$2:$M$500,4,FALSE),"")</f>
        <v/>
      </c>
      <c r="G353" s="40" t="str">
        <f>IFERROR(VLOOKUP(G350,'traspo ñ alterar'!$J$2:$M$500,4,FALSE),"")</f>
        <v/>
      </c>
      <c r="H353" s="40" t="str">
        <f>IFERROR(VLOOKUP(H350,'traspo ñ alterar'!$J$2:$M$500,4,FALSE),"")</f>
        <v/>
      </c>
      <c r="I353" s="25"/>
      <c r="J353" s="16"/>
      <c r="K353" s="16"/>
      <c r="L353" s="16"/>
    </row>
    <row r="354" ht="15.75" customHeight="1">
      <c r="A354" s="53"/>
      <c r="B354" s="41" t="str">
        <f>IFERROR(VLOOKUP(B351,'traspo ñ alterar'!$J$2:$M$500,5,FALSE),"")</f>
        <v/>
      </c>
      <c r="C354" s="42"/>
      <c r="D354" s="42"/>
      <c r="E354" s="42"/>
      <c r="F354" s="42"/>
      <c r="G354" s="42"/>
      <c r="H354" s="42"/>
      <c r="I354" s="53"/>
      <c r="J354" s="16"/>
      <c r="K354" s="16"/>
      <c r="L354" s="16"/>
    </row>
    <row r="355" ht="15.75" customHeight="1">
      <c r="A355" s="25"/>
      <c r="B355" s="37" t="str">
        <f t="array" ref="B355:H355">DiasESemanas+DATE(AnoCalendário,11,1)-WEEKDAY(DATE(AnoCalendário,11,1),(InícioDaSemana="segunda-feira")+1)+15</f>
        <v>15</v>
      </c>
      <c r="C355" s="37">
        <v>46342.0</v>
      </c>
      <c r="D355" s="37">
        <v>46343.0</v>
      </c>
      <c r="E355" s="37">
        <v>46344.0</v>
      </c>
      <c r="F355" s="37">
        <v>46345.0</v>
      </c>
      <c r="G355" s="37">
        <v>46346.0</v>
      </c>
      <c r="H355" s="37">
        <v>46347.0</v>
      </c>
      <c r="I355" s="25"/>
      <c r="J355" s="16"/>
      <c r="K355" s="16"/>
      <c r="L355" s="16"/>
    </row>
    <row r="356" ht="15.75" customHeight="1">
      <c r="A356" s="25"/>
      <c r="B356" s="39" t="str">
        <f>IFERROR(VLOOKUP(B355,'traspo ñ alterar'!$J$2:$M$500,2,FALSE),"")</f>
        <v/>
      </c>
      <c r="C356" s="40" t="str">
        <f>IFERROR(VLOOKUP(C355,'traspo ñ alterar'!$J$2:$M$500,2,FALSE),"")</f>
        <v/>
      </c>
      <c r="D356" s="40" t="str">
        <f>IFERROR(VLOOKUP(D355,'traspo ñ alterar'!$J$2:$M$500,2,FALSE),"")</f>
        <v/>
      </c>
      <c r="E356" s="40" t="str">
        <f>IFERROR(VLOOKUP(E355,'traspo ñ alterar'!$J$2:$M$500,2,FALSE),"")</f>
        <v>Célula</v>
      </c>
      <c r="F356" s="40" t="str">
        <f>IFERROR(VLOOKUP(F355,'traspo ñ alterar'!$J$2:$M$500,2,FALSE),"")</f>
        <v/>
      </c>
      <c r="G356" s="40" t="str">
        <f>IFERROR(VLOOKUP(G355,'traspo ñ alterar'!$J$2:$M$500,2,FALSE),"")</f>
        <v>Sexta cabeceira</v>
      </c>
      <c r="H356" s="40" t="str">
        <f>IFERROR(VLOOKUP(H355,'traspo ñ alterar'!$J$2:$M$500,2,FALSE),"")</f>
        <v>Relogio de oração</v>
      </c>
      <c r="I356" s="25"/>
      <c r="J356" s="16"/>
      <c r="K356" s="16"/>
      <c r="L356" s="16"/>
    </row>
    <row r="357" ht="15.75" customHeight="1">
      <c r="A357" s="25"/>
      <c r="B357" s="39" t="str">
        <f>IFERROR(VLOOKUP(B355,'traspo ñ alterar'!$J$2:$M$500,3,FALSE),"")</f>
        <v/>
      </c>
      <c r="C357" s="40" t="str">
        <f>IFERROR(VLOOKUP(C355,'traspo ñ alterar'!$J$2:$M$500,3,FALSE),"")</f>
        <v/>
      </c>
      <c r="D357" s="40" t="str">
        <f>IFERROR(VLOOKUP(D355,'traspo ñ alterar'!$J$2:$M$500,3,FALSE),"")</f>
        <v/>
      </c>
      <c r="E357" s="40" t="str">
        <f>IFERROR(VLOOKUP(E355,'traspo ñ alterar'!$J$2:$M$500,3,FALSE),"")</f>
        <v/>
      </c>
      <c r="F357" s="40" t="str">
        <f>IFERROR(VLOOKUP(F355,'traspo ñ alterar'!$J$2:$M$500,3,FALSE),"")</f>
        <v/>
      </c>
      <c r="G357" s="40" t="str">
        <f>IFERROR(VLOOKUP(G355,'traspo ñ alterar'!$J$2:$M$500,3,FALSE),"")</f>
        <v/>
      </c>
      <c r="H357" s="40" t="str">
        <f>IFERROR(VLOOKUP(H355,'traspo ñ alterar'!$J$2:$M$500,3,FALSE),"")</f>
        <v/>
      </c>
      <c r="I357" s="25"/>
      <c r="J357" s="16"/>
      <c r="K357" s="16"/>
      <c r="L357" s="16"/>
    </row>
    <row r="358" ht="15.75" customHeight="1">
      <c r="A358" s="25"/>
      <c r="B358" s="39" t="str">
        <f>IFERROR(VLOOKUP(B355,'traspo ñ alterar'!$J$2:$M$500,4,FALSE),"")</f>
        <v/>
      </c>
      <c r="C358" s="40" t="str">
        <f>IFERROR(VLOOKUP(C355,'traspo ñ alterar'!$J$2:$M$500,4,FALSE),"")</f>
        <v/>
      </c>
      <c r="D358" s="40" t="str">
        <f>IFERROR(VLOOKUP(D355,'traspo ñ alterar'!$J$2:$M$500,4,FALSE),"")</f>
        <v/>
      </c>
      <c r="E358" s="40" t="str">
        <f>IFERROR(VLOOKUP(E355,'traspo ñ alterar'!$J$2:$M$500,4,FALSE),"")</f>
        <v/>
      </c>
      <c r="F358" s="40" t="str">
        <f>IFERROR(VLOOKUP(F355,'traspo ñ alterar'!$J$2:$M$500,4,FALSE),"")</f>
        <v/>
      </c>
      <c r="G358" s="40" t="str">
        <f>IFERROR(VLOOKUP(G355,'traspo ñ alterar'!$J$2:$M$500,4,FALSE),"")</f>
        <v/>
      </c>
      <c r="H358" s="40" t="str">
        <f>IFERROR(VLOOKUP(H355,'traspo ñ alterar'!$J$2:$M$500,4,FALSE),"")</f>
        <v/>
      </c>
      <c r="I358" s="25"/>
      <c r="J358" s="16"/>
      <c r="K358" s="16"/>
      <c r="L358" s="16"/>
    </row>
    <row r="359" ht="15.75" customHeight="1">
      <c r="A359" s="53"/>
      <c r="B359" s="41" t="str">
        <f>IFERROR(VLOOKUP(B356,'traspo ñ alterar'!$J$2:$M$500,5,FALSE),"")</f>
        <v/>
      </c>
      <c r="C359" s="42"/>
      <c r="D359" s="42"/>
      <c r="E359" s="42"/>
      <c r="F359" s="42"/>
      <c r="G359" s="42"/>
      <c r="H359" s="42"/>
      <c r="I359" s="53"/>
      <c r="J359" s="16"/>
      <c r="K359" s="16"/>
      <c r="L359" s="16"/>
    </row>
    <row r="360" ht="15.75" customHeight="1">
      <c r="A360" s="25"/>
      <c r="B360" s="37" t="str">
        <f t="array" ref="B360:H360">DiasESemanas+DATE(AnoCalendário,11,1)-WEEKDAY(DATE(AnoCalendário,11,1),(InícioDaSemana="segunda-feira")+1)+22</f>
        <v>22</v>
      </c>
      <c r="C360" s="37">
        <v>46349.0</v>
      </c>
      <c r="D360" s="37">
        <v>46350.0</v>
      </c>
      <c r="E360" s="37">
        <v>46351.0</v>
      </c>
      <c r="F360" s="37">
        <v>46352.0</v>
      </c>
      <c r="G360" s="37">
        <v>46353.0</v>
      </c>
      <c r="H360" s="37">
        <v>46354.0</v>
      </c>
      <c r="I360" s="25"/>
      <c r="J360" s="16"/>
      <c r="K360" s="16"/>
      <c r="L360" s="16"/>
    </row>
    <row r="361" ht="15.75" customHeight="1">
      <c r="A361" s="25"/>
      <c r="B361" s="39" t="str">
        <f>IFERROR(VLOOKUP(B360,'traspo ñ alterar'!$J$2:$M$500,2,FALSE),"")</f>
        <v/>
      </c>
      <c r="C361" s="40" t="str">
        <f>IFERROR(VLOOKUP(C360,'traspo ñ alterar'!$J$2:$M$500,2,FALSE),"")</f>
        <v>Clamor on line</v>
      </c>
      <c r="D361" s="40" t="str">
        <f>IFERROR(VLOOKUP(D360,'traspo ñ alterar'!$J$2:$M$500,2,FALSE),"")</f>
        <v>Clamor on line</v>
      </c>
      <c r="E361" s="40" t="str">
        <f>IFERROR(VLOOKUP(E360,'traspo ñ alterar'!$J$2:$M$500,2,FALSE),"")</f>
        <v>Clamor on line</v>
      </c>
      <c r="F361" s="40" t="str">
        <f>IFERROR(VLOOKUP(F360,'traspo ñ alterar'!$J$2:$M$500,2,FALSE),"")</f>
        <v>Clamor on line</v>
      </c>
      <c r="G361" s="40" t="str">
        <f>IFERROR(VLOOKUP(G360,'traspo ñ alterar'!$J$2:$M$500,2,FALSE),"")</f>
        <v>Clamor on line</v>
      </c>
      <c r="H361" s="40" t="str">
        <f>IFERROR(VLOOKUP(H360,'traspo ñ alterar'!$J$2:$M$500,2,FALSE),"")</f>
        <v>Aniversário 42 anos</v>
      </c>
      <c r="I361" s="25"/>
      <c r="J361" s="16"/>
      <c r="K361" s="16"/>
      <c r="L361" s="16"/>
    </row>
    <row r="362" ht="15.75" customHeight="1">
      <c r="A362" s="25"/>
      <c r="B362" s="39" t="str">
        <f>IFERROR(VLOOKUP(B360,'traspo ñ alterar'!$J$2:$M$500,3,FALSE),"")</f>
        <v/>
      </c>
      <c r="C362" s="40" t="str">
        <f>IFERROR(VLOOKUP(C360,'traspo ñ alterar'!$J$2:$M$500,3,FALSE),"")</f>
        <v/>
      </c>
      <c r="D362" s="40" t="str">
        <f>IFERROR(VLOOKUP(D360,'traspo ñ alterar'!$J$2:$M$500,3,FALSE),"")</f>
        <v/>
      </c>
      <c r="E362" s="40" t="str">
        <f>IFERROR(VLOOKUP(E360,'traspo ñ alterar'!$J$2:$M$500,3,FALSE),"")</f>
        <v>Célula</v>
      </c>
      <c r="F362" s="40" t="str">
        <f>IFERROR(VLOOKUP(F360,'traspo ñ alterar'!$J$2:$M$500,3,FALSE),"")</f>
        <v>Culto de Ação de Graças</v>
      </c>
      <c r="G362" s="40" t="str">
        <f>IFERROR(VLOOKUP(G360,'traspo ñ alterar'!$J$2:$M$500,3,FALSE),"")</f>
        <v>Sexta cabeceira</v>
      </c>
      <c r="H362" s="40" t="str">
        <f>IFERROR(VLOOKUP(H360,'traspo ñ alterar'!$J$2:$M$500,3,FALSE),"")</f>
        <v/>
      </c>
      <c r="I362" s="25"/>
      <c r="J362" s="16"/>
      <c r="K362" s="16"/>
      <c r="L362" s="16"/>
    </row>
    <row r="363" ht="15.75" customHeight="1">
      <c r="A363" s="25"/>
      <c r="B363" s="39" t="str">
        <f>IFERROR(VLOOKUP(B360,'traspo ñ alterar'!$J$2:$M$500,4,FALSE),"")</f>
        <v/>
      </c>
      <c r="C363" s="40" t="str">
        <f>IFERROR(VLOOKUP(C360,'traspo ñ alterar'!$J$2:$M$500,4,FALSE),"")</f>
        <v/>
      </c>
      <c r="D363" s="40" t="str">
        <f>IFERROR(VLOOKUP(D360,'traspo ñ alterar'!$J$2:$M$500,4,FALSE),"")</f>
        <v/>
      </c>
      <c r="E363" s="40" t="str">
        <f>IFERROR(VLOOKUP(E360,'traspo ñ alterar'!$J$2:$M$500,4,FALSE),"")</f>
        <v/>
      </c>
      <c r="F363" s="40" t="str">
        <f>IFERROR(VLOOKUP(F360,'traspo ñ alterar'!$J$2:$M$500,4,FALSE),"")</f>
        <v/>
      </c>
      <c r="G363" s="40" t="str">
        <f>IFERROR(VLOOKUP(G360,'traspo ñ alterar'!$J$2:$M$500,4,FALSE),"")</f>
        <v/>
      </c>
      <c r="H363" s="40" t="str">
        <f>IFERROR(VLOOKUP(H360,'traspo ñ alterar'!$J$2:$M$500,4,FALSE),"")</f>
        <v/>
      </c>
      <c r="I363" s="25"/>
      <c r="J363" s="16"/>
      <c r="K363" s="16"/>
      <c r="L363" s="16"/>
    </row>
    <row r="364" ht="15.75" customHeight="1">
      <c r="A364" s="53"/>
      <c r="B364" s="41" t="str">
        <f>IFERROR(VLOOKUP(B361,'traspo ñ alterar'!$J$2:$M$500,5,FALSE),"")</f>
        <v/>
      </c>
      <c r="C364" s="42"/>
      <c r="D364" s="42"/>
      <c r="E364" s="42"/>
      <c r="F364" s="42"/>
      <c r="G364" s="42"/>
      <c r="H364" s="42"/>
      <c r="I364" s="53"/>
      <c r="J364" s="16"/>
      <c r="K364" s="16"/>
      <c r="L364" s="16"/>
    </row>
    <row r="365" ht="15.75" customHeight="1">
      <c r="A365" s="25"/>
      <c r="B365" s="37" t="str">
        <f t="array" ref="B365:H365">DiasESemanas+DATE(AnoCalendário,11,1)-WEEKDAY(DATE(AnoCalendário,11,1),(InícioDaSemana="segunda-feira")+1)+29</f>
        <v>29</v>
      </c>
      <c r="C365" s="37">
        <v>46356.0</v>
      </c>
      <c r="D365" s="37">
        <v>46357.0</v>
      </c>
      <c r="E365" s="37">
        <v>46358.0</v>
      </c>
      <c r="F365" s="37">
        <v>46359.0</v>
      </c>
      <c r="G365" s="37">
        <v>46360.0</v>
      </c>
      <c r="H365" s="37">
        <v>46361.0</v>
      </c>
      <c r="I365" s="25"/>
      <c r="J365" s="16"/>
      <c r="K365" s="16"/>
      <c r="L365" s="16"/>
    </row>
    <row r="366" ht="15.75" customHeight="1">
      <c r="A366" s="25"/>
      <c r="B366" s="39" t="str">
        <f>IFERROR(VLOOKUP(B365,'traspo ñ alterar'!$J$2:$M$500,2,FALSE),"")</f>
        <v>Aniversário 42 anos</v>
      </c>
      <c r="C366" s="40" t="str">
        <f>IFERROR(VLOOKUP(C365,'traspo ñ alterar'!$J$2:$M$500,2,FALSE),"")</f>
        <v/>
      </c>
      <c r="D366" s="60" t="str">
        <f>IFERROR(VLOOKUP(D365,'traspo ñ alterar'!$J$2:$M$500,2,FALSE),"")</f>
        <v/>
      </c>
      <c r="E366" s="60" t="str">
        <f>IFERROR(VLOOKUP(E365,'traspo ñ alterar'!$J$2:$M$500,2,FALSE),"")</f>
        <v>Célula</v>
      </c>
      <c r="F366" s="60" t="str">
        <f>IFERROR(VLOOKUP(F365,'traspo ñ alterar'!$J$2:$M$500,2,FALSE),"")</f>
        <v/>
      </c>
      <c r="G366" s="60" t="str">
        <f>IFERROR(VLOOKUP(G365,'traspo ñ alterar'!$J$2:$M$500,2,FALSE),"")</f>
        <v>Vigília</v>
      </c>
      <c r="H366" s="60" t="str">
        <f>IFERROR(VLOOKUP(H365,'traspo ñ alterar'!$J$2:$M$500,2,FALSE),"")</f>
        <v>Inteensos</v>
      </c>
      <c r="I366" s="25"/>
      <c r="J366" s="16"/>
      <c r="K366" s="16"/>
      <c r="L366" s="16"/>
    </row>
    <row r="367" ht="15.75" customHeight="1">
      <c r="A367" s="25"/>
      <c r="B367" s="39" t="str">
        <f>IFERROR(VLOOKUP(B365,'traspo ñ alterar'!$J$2:$M$500,3,FALSE),"")</f>
        <v/>
      </c>
      <c r="C367" s="40" t="str">
        <f>IFERROR(VLOOKUP(C365,'traspo ñ alterar'!$J$2:$M$500,3,FALSE),"")</f>
        <v/>
      </c>
      <c r="D367" s="60" t="str">
        <f>IFERROR(VLOOKUP(D365,'traspo ñ alterar'!$J$2:$M$500,3,FALSE),"")</f>
        <v/>
      </c>
      <c r="E367" s="60" t="str">
        <f>IFERROR(VLOOKUP(E365,'traspo ñ alterar'!$J$2:$M$500,3,FALSE),"")</f>
        <v/>
      </c>
      <c r="F367" s="60" t="str">
        <f>IFERROR(VLOOKUP(F365,'traspo ñ alterar'!$J$2:$M$500,3,FALSE),"")</f>
        <v/>
      </c>
      <c r="G367" s="60" t="str">
        <f>IFERROR(VLOOKUP(G365,'traspo ñ alterar'!$J$2:$M$500,3,FALSE),"")</f>
        <v>Sexta cabeceira</v>
      </c>
      <c r="H367" s="60" t="str">
        <f>IFERROR(VLOOKUP(H365,'traspo ñ alterar'!$J$2:$M$500,3,FALSE),"")</f>
        <v/>
      </c>
      <c r="I367" s="25"/>
      <c r="J367" s="16"/>
      <c r="K367" s="16"/>
      <c r="L367" s="16"/>
    </row>
    <row r="368" ht="15.75" customHeight="1">
      <c r="A368" s="25"/>
      <c r="B368" s="39" t="str">
        <f>IFERROR(VLOOKUP(B365,'traspo ñ alterar'!$J$2:$M$500,4,FALSE),"")</f>
        <v/>
      </c>
      <c r="C368" s="40" t="str">
        <f>IFERROR(VLOOKUP(C365,'traspo ñ alterar'!$J$2:$M$500,4,FALSE),"")</f>
        <v/>
      </c>
      <c r="D368" s="60" t="str">
        <f>IFERROR(VLOOKUP(D365,'traspo ñ alterar'!$J$2:$M$500,4,FALSE),"")</f>
        <v/>
      </c>
      <c r="E368" s="60" t="str">
        <f>IFERROR(VLOOKUP(E365,'traspo ñ alterar'!$J$2:$M$500,4,FALSE),"")</f>
        <v/>
      </c>
      <c r="F368" s="60" t="str">
        <f>IFERROR(VLOOKUP(F365,'traspo ñ alterar'!$J$2:$M$500,4,FALSE),"")</f>
        <v/>
      </c>
      <c r="G368" s="60" t="str">
        <f>IFERROR(VLOOKUP(G365,'traspo ñ alterar'!$J$2:$M$500,4,FALSE),"")</f>
        <v/>
      </c>
      <c r="H368" s="60" t="str">
        <f>IFERROR(VLOOKUP(H365,'traspo ñ alterar'!$J$2:$M$500,4,FALSE),"")</f>
        <v/>
      </c>
      <c r="I368" s="25"/>
      <c r="J368" s="16"/>
      <c r="K368" s="16"/>
      <c r="L368" s="16"/>
    </row>
    <row r="369" ht="15.75" customHeight="1">
      <c r="A369" s="53"/>
      <c r="B369" s="41" t="str">
        <f>IFERROR(VLOOKUP(B366,'traspo ñ alterar'!$J$2:$M$500,5,FALSE),"")</f>
        <v/>
      </c>
      <c r="C369" s="42"/>
      <c r="D369" s="66"/>
      <c r="E369" s="66"/>
      <c r="F369" s="66"/>
      <c r="G369" s="66"/>
      <c r="H369" s="66"/>
      <c r="I369" s="53"/>
      <c r="J369" s="16"/>
      <c r="K369" s="16"/>
      <c r="L369" s="16"/>
    </row>
    <row r="370" ht="15.75" customHeight="1">
      <c r="A370" s="25"/>
      <c r="B370" s="37" t="str">
        <f t="array" ref="B370:C370">DiasESemanas+DATE(AnoCalendário,11,1)-WEEKDAY(DATE(AnoCalendário,11,1),(InícioDaSemana="segunda-feira")+1)+36</f>
        <v>6</v>
      </c>
      <c r="C370" s="37">
        <v>46363.0</v>
      </c>
      <c r="D370" s="45" t="s">
        <v>133</v>
      </c>
      <c r="E370" s="46"/>
      <c r="F370" s="46"/>
      <c r="G370" s="46"/>
      <c r="H370" s="47"/>
      <c r="I370" s="25"/>
      <c r="J370" s="16"/>
      <c r="K370" s="16"/>
      <c r="L370" s="16"/>
    </row>
    <row r="371" ht="15.75" customHeight="1">
      <c r="A371" s="25"/>
      <c r="B371" s="48" t="str">
        <f>IFERROR(VLOOKUP(B370,'traspo ñ alterar'!$J$2:$M$500,2,FALSE),"")</f>
        <v>Teatro de Natal</v>
      </c>
      <c r="C371" s="60" t="str">
        <f>IFERROR(VLOOKUP(C370,'traspo ñ alterar'!$J$2:$M$500,2,FALSE),"")</f>
        <v/>
      </c>
      <c r="D371" s="50"/>
      <c r="E371" s="51"/>
      <c r="F371" s="51"/>
      <c r="G371" s="51"/>
      <c r="H371" s="52"/>
      <c r="I371" s="25"/>
      <c r="J371" s="16"/>
      <c r="K371" s="16"/>
      <c r="L371" s="16"/>
    </row>
    <row r="372" ht="15.75" customHeight="1">
      <c r="A372" s="25"/>
      <c r="B372" s="48" t="str">
        <f>IFERROR(VLOOKUP(B370,'traspo ñ alterar'!$J$2:$M$500,3,FALSE),"")</f>
        <v>Culto em Rio Brilhante</v>
      </c>
      <c r="C372" s="60" t="str">
        <f>IFERROR(VLOOKUP(C370,'traspo ñ alterar'!$J$2:$M$500,3,FALSE),"")</f>
        <v/>
      </c>
      <c r="D372" s="50"/>
      <c r="E372" s="51"/>
      <c r="F372" s="51"/>
      <c r="G372" s="51"/>
      <c r="H372" s="52"/>
      <c r="I372" s="25"/>
      <c r="J372" s="16"/>
      <c r="K372" s="16"/>
      <c r="L372" s="16"/>
    </row>
    <row r="373" ht="15.75" customHeight="1">
      <c r="A373" s="25"/>
      <c r="B373" s="48" t="str">
        <f>IFERROR(VLOOKUP(B370,'traspo ñ alterar'!$J$2:$M$500,4,FALSE),"")</f>
        <v/>
      </c>
      <c r="C373" s="60" t="str">
        <f>IFERROR(VLOOKUP(C370,'traspo ñ alterar'!$J$2:$M$500,4,FALSE),"")</f>
        <v/>
      </c>
      <c r="D373" s="50"/>
      <c r="E373" s="51"/>
      <c r="F373" s="51"/>
      <c r="G373" s="51"/>
      <c r="H373" s="52"/>
      <c r="I373" s="25"/>
      <c r="J373" s="16"/>
      <c r="K373" s="16"/>
      <c r="L373" s="16"/>
    </row>
    <row r="374" ht="15.75" customHeight="1">
      <c r="A374" s="53"/>
      <c r="B374" s="70" t="str">
        <f>IFERROR(VLOOKUP(B371,'traspo ñ alterar'!$J$2:$M$500,5,FALSE),"")</f>
        <v/>
      </c>
      <c r="C374" s="64"/>
      <c r="D374" s="56"/>
      <c r="E374" s="57"/>
      <c r="F374" s="57"/>
      <c r="G374" s="57"/>
      <c r="H374" s="58"/>
      <c r="I374" s="53"/>
      <c r="J374" s="16"/>
      <c r="K374" s="16"/>
      <c r="L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 t="s">
        <v>128</v>
      </c>
      <c r="J376" s="16"/>
      <c r="K376" s="16"/>
      <c r="L376" s="16"/>
    </row>
    <row r="377" ht="15.75" customHeight="1">
      <c r="A377" s="16"/>
      <c r="B377" s="17" t="str">
        <f>"Dezembro "&amp;AnoCalendário</f>
        <v>Dezembro 2026</v>
      </c>
      <c r="E377" s="18"/>
      <c r="F377" s="18"/>
      <c r="G377" s="18"/>
      <c r="H377" s="19"/>
      <c r="I377" s="16"/>
      <c r="J377" s="16"/>
      <c r="K377" s="16"/>
      <c r="L377" s="16"/>
    </row>
    <row r="378" ht="15.75" customHeight="1">
      <c r="A378" s="20"/>
      <c r="B378" s="22" t="str">
        <f>InícioDaSemana</f>
        <v>domingo</v>
      </c>
      <c r="C378" s="22" t="str">
        <f t="shared" ref="C378:H378" si="12">TEXT(C379,"dddd")</f>
        <v>Monday</v>
      </c>
      <c r="D378" s="22" t="str">
        <f t="shared" si="12"/>
        <v>Tuesday</v>
      </c>
      <c r="E378" s="22" t="str">
        <f t="shared" si="12"/>
        <v>Wednesday</v>
      </c>
      <c r="F378" s="22" t="str">
        <f t="shared" si="12"/>
        <v>Thursday</v>
      </c>
      <c r="G378" s="22" t="str">
        <f t="shared" si="12"/>
        <v>Friday</v>
      </c>
      <c r="H378" s="22" t="str">
        <f t="shared" si="12"/>
        <v>Saturday</v>
      </c>
      <c r="I378" s="20"/>
      <c r="J378" s="16"/>
      <c r="K378" s="16"/>
      <c r="L378" s="16"/>
    </row>
    <row r="379" ht="15.75" customHeight="1">
      <c r="A379" s="25"/>
      <c r="B379" s="27" t="str">
        <f t="array" ref="B379:H379">DiasESemanas+DATE(AnoCalendário,12,1)-WEEKDAY(DATE(AnoCalendário,12,1),(InícioDaSemana="segunda-feira")+1)+1</f>
        <v>29</v>
      </c>
      <c r="C379" s="27">
        <v>46356.0</v>
      </c>
      <c r="D379" s="27">
        <v>46357.0</v>
      </c>
      <c r="E379" s="27">
        <v>46358.0</v>
      </c>
      <c r="F379" s="27">
        <v>46359.0</v>
      </c>
      <c r="G379" s="27">
        <v>46360.0</v>
      </c>
      <c r="H379" s="27">
        <v>46361.0</v>
      </c>
      <c r="I379" s="25"/>
      <c r="J379" s="16"/>
      <c r="K379" s="16"/>
      <c r="L379" s="16"/>
    </row>
    <row r="380" ht="15.75" customHeight="1">
      <c r="A380" s="25"/>
      <c r="B380" s="48" t="str">
        <f>IFERROR(VLOOKUP(B379,'traspo ñ alterar'!$J$2:$M$500,2,FALSE),"")</f>
        <v>Aniversário 42 anos</v>
      </c>
      <c r="C380" s="60" t="str">
        <f>IFERROR(VLOOKUP(C379,'traspo ñ alterar'!$J$2:$M$500,2,FALSE),"")</f>
        <v/>
      </c>
      <c r="D380" s="40" t="str">
        <f>IFERROR(VLOOKUP(D379,'traspo ñ alterar'!$J$2:$M$500,2,FALSE),"")</f>
        <v/>
      </c>
      <c r="E380" s="40" t="str">
        <f>IFERROR(VLOOKUP(E379,'traspo ñ alterar'!$J$2:$M$500,2,FALSE),"")</f>
        <v>Célula</v>
      </c>
      <c r="F380" s="40" t="str">
        <f>IFERROR(VLOOKUP(F379,'traspo ñ alterar'!$J$2:$M$500,2,FALSE),"")</f>
        <v/>
      </c>
      <c r="G380" s="40" t="str">
        <f>IFERROR(VLOOKUP(G379,'traspo ñ alterar'!$J$2:$M$500,2,FALSE),"")</f>
        <v>Vigília</v>
      </c>
      <c r="H380" s="40" t="str">
        <f>IFERROR(VLOOKUP(H379,'traspo ñ alterar'!$J$2:$M$500,2,FALSE),"")</f>
        <v>Inteensos</v>
      </c>
      <c r="I380" s="25"/>
      <c r="J380" s="16"/>
      <c r="K380" s="16"/>
      <c r="L380" s="16"/>
    </row>
    <row r="381" ht="15.75" customHeight="1">
      <c r="A381" s="25"/>
      <c r="B381" s="48" t="str">
        <f>IFERROR(VLOOKUP(B379,'traspo ñ alterar'!$J$2:$M$500,3,FALSE),"")</f>
        <v/>
      </c>
      <c r="C381" s="60" t="str">
        <f>IFERROR(VLOOKUP(C379,'traspo ñ alterar'!$J$2:$M$500,3,FALSE),"")</f>
        <v/>
      </c>
      <c r="D381" s="40" t="str">
        <f>IFERROR(VLOOKUP(D379,'traspo ñ alterar'!$J$2:$M$500,3,FALSE),"")</f>
        <v/>
      </c>
      <c r="E381" s="40" t="str">
        <f>IFERROR(VLOOKUP(E379,'traspo ñ alterar'!$J$2:$M$500,3,FALSE),"")</f>
        <v/>
      </c>
      <c r="F381" s="40" t="str">
        <f>IFERROR(VLOOKUP(F379,'traspo ñ alterar'!$J$2:$M$500,3,FALSE),"")</f>
        <v/>
      </c>
      <c r="G381" s="40" t="str">
        <f>IFERROR(VLOOKUP(G379,'traspo ñ alterar'!$J$2:$M$500,3,FALSE),"")</f>
        <v>Sexta cabeceira</v>
      </c>
      <c r="H381" s="40" t="str">
        <f>IFERROR(VLOOKUP(H379,'traspo ñ alterar'!$J$2:$M$500,3,FALSE),"")</f>
        <v/>
      </c>
      <c r="I381" s="25"/>
      <c r="J381" s="16"/>
      <c r="K381" s="16"/>
      <c r="L381" s="16"/>
    </row>
    <row r="382" ht="15.75" customHeight="1">
      <c r="A382" s="25"/>
      <c r="B382" s="48" t="str">
        <f>IFERROR(VLOOKUP(B379,'traspo ñ alterar'!$J$2:$M$500,4,FALSE),"")</f>
        <v/>
      </c>
      <c r="C382" s="60" t="str">
        <f>IFERROR(VLOOKUP(C379,'traspo ñ alterar'!$J$2:$M$500,4,FALSE),"")</f>
        <v/>
      </c>
      <c r="D382" s="40" t="str">
        <f>IFERROR(VLOOKUP(D379,'traspo ñ alterar'!$J$2:$M$500,4,FALSE),"")</f>
        <v/>
      </c>
      <c r="E382" s="40" t="str">
        <f>IFERROR(VLOOKUP(E379,'traspo ñ alterar'!$J$2:$M$500,4,FALSE),"")</f>
        <v/>
      </c>
      <c r="F382" s="40" t="str">
        <f>IFERROR(VLOOKUP(F379,'traspo ñ alterar'!$J$2:$M$500,4,FALSE),"")</f>
        <v/>
      </c>
      <c r="G382" s="40" t="str">
        <f>IFERROR(VLOOKUP(G379,'traspo ñ alterar'!$J$2:$M$500,4,FALSE),"")</f>
        <v/>
      </c>
      <c r="H382" s="40" t="str">
        <f>IFERROR(VLOOKUP(H379,'traspo ñ alterar'!$J$2:$M$500,4,FALSE),"")</f>
        <v/>
      </c>
      <c r="I382" s="25"/>
      <c r="J382" s="16"/>
      <c r="K382" s="16"/>
      <c r="L382" s="16"/>
    </row>
    <row r="383" ht="15.75" customHeight="1">
      <c r="A383" s="53"/>
      <c r="B383" s="69" t="str">
        <f>IFERROR(VLOOKUP(B380,'traspo ñ alterar'!$J$2:$M$500,5,FALSE),"")</f>
        <v/>
      </c>
      <c r="C383" s="66"/>
      <c r="D383" s="42"/>
      <c r="E383" s="42"/>
      <c r="F383" s="42"/>
      <c r="G383" s="42"/>
      <c r="H383" s="42"/>
      <c r="I383" s="53"/>
      <c r="J383" s="16"/>
      <c r="K383" s="16"/>
      <c r="L383" s="16"/>
    </row>
    <row r="384" ht="15.75" customHeight="1">
      <c r="A384" s="25"/>
      <c r="B384" s="37" t="str">
        <f t="array" ref="B384:H384">DiasESemanas+DATE(AnoCalendário,12,1)-WEEKDAY(DATE(AnoCalendário,12,1),(InícioDaSemana="segunda-feira")+1)+8</f>
        <v>6</v>
      </c>
      <c r="C384" s="37">
        <v>46363.0</v>
      </c>
      <c r="D384" s="37">
        <v>46364.0</v>
      </c>
      <c r="E384" s="37">
        <v>46365.0</v>
      </c>
      <c r="F384" s="37">
        <v>46366.0</v>
      </c>
      <c r="G384" s="37">
        <v>46367.0</v>
      </c>
      <c r="H384" s="37">
        <v>46368.0</v>
      </c>
      <c r="I384" s="25"/>
      <c r="J384" s="16"/>
      <c r="K384" s="16"/>
      <c r="L384" s="16"/>
    </row>
    <row r="385" ht="15.75" customHeight="1">
      <c r="A385" s="25"/>
      <c r="B385" s="39" t="str">
        <f>IFERROR(VLOOKUP(B384,'traspo ñ alterar'!$J$2:$M$500,2,FALSE),"")</f>
        <v>Teatro de Natal</v>
      </c>
      <c r="C385" s="40" t="str">
        <f>IFERROR(VLOOKUP(C384,'traspo ñ alterar'!$J$2:$M$500,2,FALSE),"")</f>
        <v/>
      </c>
      <c r="D385" s="40" t="str">
        <f>IFERROR(VLOOKUP(D384,'traspo ñ alterar'!$J$2:$M$500,2,FALSE),"")</f>
        <v/>
      </c>
      <c r="E385" s="40" t="str">
        <f>IFERROR(VLOOKUP(E384,'traspo ñ alterar'!$J$2:$M$500,2,FALSE),"")</f>
        <v>Célula</v>
      </c>
      <c r="F385" s="40" t="str">
        <f>IFERROR(VLOOKUP(F384,'traspo ñ alterar'!$J$2:$M$500,2,FALSE),"")</f>
        <v>Culto de homens</v>
      </c>
      <c r="G385" s="40" t="str">
        <f>IFERROR(VLOOKUP(G384,'traspo ñ alterar'!$J$2:$M$500,2,FALSE),"")</f>
        <v>Sexta cabeceira</v>
      </c>
      <c r="H385" s="40" t="str">
        <f>IFERROR(VLOOKUP(H384,'traspo ñ alterar'!$J$2:$M$500,2,FALSE),"")</f>
        <v>Dia da Bíblia</v>
      </c>
      <c r="I385" s="25"/>
      <c r="J385" s="16"/>
      <c r="K385" s="16"/>
      <c r="L385" s="16"/>
    </row>
    <row r="386" ht="15.75" customHeight="1">
      <c r="A386" s="25"/>
      <c r="B386" s="39" t="str">
        <f>IFERROR(VLOOKUP(B384,'traspo ñ alterar'!$J$2:$M$500,3,FALSE),"")</f>
        <v>Culto em Rio Brilhante</v>
      </c>
      <c r="C386" s="40" t="str">
        <f>IFERROR(VLOOKUP(C384,'traspo ñ alterar'!$J$2:$M$500,3,FALSE),"")</f>
        <v/>
      </c>
      <c r="D386" s="40" t="str">
        <f>IFERROR(VLOOKUP(D384,'traspo ñ alterar'!$J$2:$M$500,3,FALSE),"")</f>
        <v/>
      </c>
      <c r="E386" s="40" t="str">
        <f>IFERROR(VLOOKUP(E384,'traspo ñ alterar'!$J$2:$M$500,3,FALSE),"")</f>
        <v/>
      </c>
      <c r="F386" s="40" t="str">
        <f>IFERROR(VLOOKUP(F384,'traspo ñ alterar'!$J$2:$M$500,3,FALSE),"")</f>
        <v/>
      </c>
      <c r="G386" s="40" t="str">
        <f>IFERROR(VLOOKUP(G384,'traspo ñ alterar'!$J$2:$M$500,3,FALSE),"")</f>
        <v/>
      </c>
      <c r="H386" s="40" t="str">
        <f>IFERROR(VLOOKUP(H384,'traspo ñ alterar'!$J$2:$M$500,3,FALSE),"")</f>
        <v>Relogio de oração</v>
      </c>
      <c r="I386" s="25"/>
      <c r="J386" s="16"/>
      <c r="K386" s="16"/>
      <c r="L386" s="16"/>
    </row>
    <row r="387" ht="15.75" customHeight="1">
      <c r="A387" s="25"/>
      <c r="B387" s="39" t="str">
        <f>IFERROR(VLOOKUP(B384,'traspo ñ alterar'!$J$2:$M$500,4,FALSE),"")</f>
        <v/>
      </c>
      <c r="C387" s="40" t="str">
        <f>IFERROR(VLOOKUP(C384,'traspo ñ alterar'!$J$2:$M$500,4,FALSE),"")</f>
        <v/>
      </c>
      <c r="D387" s="40" t="str">
        <f>IFERROR(VLOOKUP(D384,'traspo ñ alterar'!$J$2:$M$500,4,FALSE),"")</f>
        <v/>
      </c>
      <c r="E387" s="40" t="str">
        <f>IFERROR(VLOOKUP(E384,'traspo ñ alterar'!$J$2:$M$500,4,FALSE),"")</f>
        <v/>
      </c>
      <c r="F387" s="40" t="str">
        <f>IFERROR(VLOOKUP(F384,'traspo ñ alterar'!$J$2:$M$500,4,FALSE),"")</f>
        <v/>
      </c>
      <c r="G387" s="40" t="str">
        <f>IFERROR(VLOOKUP(G384,'traspo ñ alterar'!$J$2:$M$500,4,FALSE),"")</f>
        <v/>
      </c>
      <c r="H387" s="40" t="str">
        <f>IFERROR(VLOOKUP(H384,'traspo ñ alterar'!$J$2:$M$500,4,FALSE),"")</f>
        <v>Antecipação do Culto</v>
      </c>
      <c r="I387" s="25"/>
      <c r="J387" s="16"/>
      <c r="K387" s="16"/>
      <c r="L387" s="16"/>
    </row>
    <row r="388" ht="15.75" customHeight="1">
      <c r="A388" s="53"/>
      <c r="B388" s="41" t="str">
        <f>IFERROR(VLOOKUP(B385,'traspo ñ alterar'!$J$2:$M$500,5,FALSE),"")</f>
        <v/>
      </c>
      <c r="C388" s="42"/>
      <c r="D388" s="42"/>
      <c r="E388" s="42"/>
      <c r="F388" s="42"/>
      <c r="G388" s="42"/>
      <c r="H388" s="42"/>
      <c r="I388" s="53"/>
      <c r="J388" s="16"/>
      <c r="K388" s="16"/>
      <c r="L388" s="16"/>
    </row>
    <row r="389" ht="15.75" customHeight="1">
      <c r="A389" s="25"/>
      <c r="B389" s="37" t="str">
        <f t="array" ref="B389:H389">DiasESemanas+DATE(AnoCalendário,12,1)-WEEKDAY(DATE(AnoCalendário,12,1),(InícioDaSemana="segunda-feira")+1)+15</f>
        <v>13</v>
      </c>
      <c r="C389" s="37">
        <v>46370.0</v>
      </c>
      <c r="D389" s="37">
        <v>46371.0</v>
      </c>
      <c r="E389" s="37">
        <v>46372.0</v>
      </c>
      <c r="F389" s="37">
        <v>46373.0</v>
      </c>
      <c r="G389" s="37">
        <v>46374.0</v>
      </c>
      <c r="H389" s="37">
        <v>46375.0</v>
      </c>
      <c r="I389" s="25"/>
      <c r="J389" s="16"/>
      <c r="K389" s="16"/>
      <c r="L389" s="16"/>
    </row>
    <row r="390" ht="15.75" customHeight="1">
      <c r="A390" s="25"/>
      <c r="B390" s="39" t="str">
        <f>IFERROR(VLOOKUP(B389,'traspo ñ alterar'!$J$2:$M$500,2,FALSE),"")</f>
        <v>Batismo e Confraternização</v>
      </c>
      <c r="C390" s="40" t="str">
        <f>IFERROR(VLOOKUP(C389,'traspo ñ alterar'!$J$2:$M$500,2,FALSE),"")</f>
        <v/>
      </c>
      <c r="D390" s="40" t="str">
        <f>IFERROR(VLOOKUP(D389,'traspo ñ alterar'!$J$2:$M$500,2,FALSE),"")</f>
        <v/>
      </c>
      <c r="E390" s="40" t="str">
        <f>IFERROR(VLOOKUP(E389,'traspo ñ alterar'!$J$2:$M$500,2,FALSE),"")</f>
        <v/>
      </c>
      <c r="F390" s="40" t="str">
        <f>IFERROR(VLOOKUP(F389,'traspo ñ alterar'!$J$2:$M$500,2,FALSE),"")</f>
        <v/>
      </c>
      <c r="G390" s="40" t="str">
        <f>IFERROR(VLOOKUP(G389,'traspo ñ alterar'!$J$2:$M$500,2,FALSE),"")</f>
        <v/>
      </c>
      <c r="H390" s="40" t="str">
        <f>IFERROR(VLOOKUP(H389,'traspo ñ alterar'!$J$2:$M$500,2,FALSE),"")</f>
        <v>Formatura/EBD</v>
      </c>
      <c r="I390" s="25"/>
      <c r="J390" s="16"/>
      <c r="K390" s="16"/>
      <c r="L390" s="16"/>
    </row>
    <row r="391" ht="15.75" customHeight="1">
      <c r="A391" s="25"/>
      <c r="B391" s="39" t="str">
        <f>IFERROR(VLOOKUP(B389,'traspo ñ alterar'!$J$2:$M$500,3,FALSE),"")</f>
        <v/>
      </c>
      <c r="C391" s="40" t="str">
        <f>IFERROR(VLOOKUP(C389,'traspo ñ alterar'!$J$2:$M$500,3,FALSE),"")</f>
        <v/>
      </c>
      <c r="D391" s="40" t="str">
        <f>IFERROR(VLOOKUP(D389,'traspo ñ alterar'!$J$2:$M$500,3,FALSE),"")</f>
        <v/>
      </c>
      <c r="E391" s="40" t="str">
        <f>IFERROR(VLOOKUP(E389,'traspo ñ alterar'!$J$2:$M$500,3,FALSE),"")</f>
        <v/>
      </c>
      <c r="F391" s="40" t="str">
        <f>IFERROR(VLOOKUP(F389,'traspo ñ alterar'!$J$2:$M$500,3,FALSE),"")</f>
        <v/>
      </c>
      <c r="G391" s="40" t="str">
        <f>IFERROR(VLOOKUP(G389,'traspo ñ alterar'!$J$2:$M$500,3,FALSE),"")</f>
        <v/>
      </c>
      <c r="H391" s="40" t="str">
        <f>IFERROR(VLOOKUP(H389,'traspo ñ alterar'!$J$2:$M$500,3,FALSE),"")</f>
        <v/>
      </c>
      <c r="I391" s="25"/>
      <c r="J391" s="16"/>
      <c r="K391" s="16"/>
      <c r="L391" s="16"/>
    </row>
    <row r="392" ht="15.75" customHeight="1">
      <c r="A392" s="25"/>
      <c r="B392" s="39" t="str">
        <f>IFERROR(VLOOKUP(B389,'traspo ñ alterar'!$J$2:$M$500,4,FALSE),"")</f>
        <v/>
      </c>
      <c r="C392" s="40" t="str">
        <f>IFERROR(VLOOKUP(C389,'traspo ñ alterar'!$J$2:$M$500,4,FALSE),"")</f>
        <v/>
      </c>
      <c r="D392" s="40" t="str">
        <f>IFERROR(VLOOKUP(D389,'traspo ñ alterar'!$J$2:$M$500,4,FALSE),"")</f>
        <v/>
      </c>
      <c r="E392" s="40" t="str">
        <f>IFERROR(VLOOKUP(E389,'traspo ñ alterar'!$J$2:$M$500,4,FALSE),"")</f>
        <v/>
      </c>
      <c r="F392" s="40" t="str">
        <f>IFERROR(VLOOKUP(F389,'traspo ñ alterar'!$J$2:$M$500,4,FALSE),"")</f>
        <v/>
      </c>
      <c r="G392" s="40" t="str">
        <f>IFERROR(VLOOKUP(G389,'traspo ñ alterar'!$J$2:$M$500,4,FALSE),"")</f>
        <v/>
      </c>
      <c r="H392" s="40" t="str">
        <f>IFERROR(VLOOKUP(H389,'traspo ñ alterar'!$J$2:$M$500,4,FALSE),"")</f>
        <v/>
      </c>
      <c r="I392" s="25"/>
      <c r="J392" s="16"/>
      <c r="K392" s="16"/>
      <c r="L392" s="16"/>
    </row>
    <row r="393" ht="15.75" customHeight="1">
      <c r="A393" s="53"/>
      <c r="B393" s="41" t="str">
        <f>IFERROR(VLOOKUP(B390,'traspo ñ alterar'!$J$2:$M$500,5,FALSE),"")</f>
        <v/>
      </c>
      <c r="C393" s="42"/>
      <c r="D393" s="42"/>
      <c r="E393" s="42"/>
      <c r="F393" s="42"/>
      <c r="G393" s="42"/>
      <c r="H393" s="42"/>
      <c r="I393" s="53"/>
      <c r="J393" s="16"/>
      <c r="K393" s="16"/>
      <c r="L393" s="16"/>
    </row>
    <row r="394" ht="15.75" customHeight="1">
      <c r="A394" s="25"/>
      <c r="B394" s="37" t="str">
        <f t="array" ref="B394:H394">DiasESemanas+DATE(AnoCalendário,12,1)-WEEKDAY(DATE(AnoCalendário,12,1),(InícioDaSemana="segunda-feira")+1)+22</f>
        <v>20</v>
      </c>
      <c r="C394" s="37">
        <v>46377.0</v>
      </c>
      <c r="D394" s="37">
        <v>46378.0</v>
      </c>
      <c r="E394" s="37">
        <v>46379.0</v>
      </c>
      <c r="F394" s="37">
        <v>46380.0</v>
      </c>
      <c r="G394" s="37">
        <v>46381.0</v>
      </c>
      <c r="H394" s="37">
        <v>46382.0</v>
      </c>
      <c r="I394" s="25"/>
      <c r="J394" s="16"/>
      <c r="K394" s="16"/>
      <c r="L394" s="16"/>
    </row>
    <row r="395" ht="15.75" customHeight="1">
      <c r="A395" s="25"/>
      <c r="B395" s="39" t="str">
        <f>IFERROR(VLOOKUP(B394,'traspo ñ alterar'!$J$2:$M$500,2,FALSE),"")</f>
        <v>Concílio Local 2</v>
      </c>
      <c r="C395" s="40" t="str">
        <f>IFERROR(VLOOKUP(C394,'traspo ñ alterar'!$J$2:$M$500,2,FALSE),"")</f>
        <v/>
      </c>
      <c r="D395" s="40" t="str">
        <f>IFERROR(VLOOKUP(D394,'traspo ñ alterar'!$J$2:$M$500,2,FALSE),"")</f>
        <v/>
      </c>
      <c r="E395" s="40" t="str">
        <f>IFERROR(VLOOKUP(E394,'traspo ñ alterar'!$J$2:$M$500,2,FALSE),"")</f>
        <v/>
      </c>
      <c r="F395" s="40" t="str">
        <f>IFERROR(VLOOKUP(F394,'traspo ñ alterar'!$J$2:$M$500,2,FALSE),"")</f>
        <v/>
      </c>
      <c r="G395" s="40" t="str">
        <f>IFERROR(VLOOKUP(G394,'traspo ñ alterar'!$J$2:$M$500,2,FALSE),"")</f>
        <v/>
      </c>
      <c r="H395" s="40" t="str">
        <f>IFERROR(VLOOKUP(H394,'traspo ñ alterar'!$J$2:$M$500,2,FALSE),"")</f>
        <v/>
      </c>
      <c r="I395" s="25"/>
      <c r="J395" s="16"/>
      <c r="K395" s="16"/>
      <c r="L395" s="16"/>
    </row>
    <row r="396" ht="15.75" customHeight="1">
      <c r="A396" s="25"/>
      <c r="B396" s="39" t="str">
        <f>IFERROR(VLOOKUP(B394,'traspo ñ alterar'!$J$2:$M$500,3,FALSE),"")</f>
        <v>Culto de Recepção de Novos Membros</v>
      </c>
      <c r="C396" s="40" t="str">
        <f>IFERROR(VLOOKUP(C394,'traspo ñ alterar'!$J$2:$M$500,3,FALSE),"")</f>
        <v/>
      </c>
      <c r="D396" s="40" t="str">
        <f>IFERROR(VLOOKUP(D394,'traspo ñ alterar'!$J$2:$M$500,3,FALSE),"")</f>
        <v/>
      </c>
      <c r="E396" s="40" t="str">
        <f>IFERROR(VLOOKUP(E394,'traspo ñ alterar'!$J$2:$M$500,3,FALSE),"")</f>
        <v/>
      </c>
      <c r="F396" s="40" t="str">
        <f>IFERROR(VLOOKUP(F394,'traspo ñ alterar'!$J$2:$M$500,3,FALSE),"")</f>
        <v/>
      </c>
      <c r="G396" s="40" t="str">
        <f>IFERROR(VLOOKUP(G394,'traspo ñ alterar'!$J$2:$M$500,3,FALSE),"")</f>
        <v/>
      </c>
      <c r="H396" s="40" t="str">
        <f>IFERROR(VLOOKUP(H394,'traspo ñ alterar'!$J$2:$M$500,3,FALSE),"")</f>
        <v/>
      </c>
      <c r="I396" s="25"/>
      <c r="J396" s="16"/>
      <c r="K396" s="16"/>
      <c r="L396" s="16"/>
    </row>
    <row r="397" ht="15.75" customHeight="1">
      <c r="A397" s="25"/>
      <c r="B397" s="39" t="str">
        <f>IFERROR(VLOOKUP(B394,'traspo ñ alterar'!$J$2:$M$500,4,FALSE),"")</f>
        <v/>
      </c>
      <c r="C397" s="40" t="str">
        <f>IFERROR(VLOOKUP(C394,'traspo ñ alterar'!$J$2:$M$500,4,FALSE),"")</f>
        <v/>
      </c>
      <c r="D397" s="40" t="str">
        <f>IFERROR(VLOOKUP(D394,'traspo ñ alterar'!$J$2:$M$500,4,FALSE),"")</f>
        <v/>
      </c>
      <c r="E397" s="40" t="str">
        <f>IFERROR(VLOOKUP(E394,'traspo ñ alterar'!$J$2:$M$500,4,FALSE),"")</f>
        <v/>
      </c>
      <c r="F397" s="40" t="str">
        <f>IFERROR(VLOOKUP(F394,'traspo ñ alterar'!$J$2:$M$500,4,FALSE),"")</f>
        <v/>
      </c>
      <c r="G397" s="40" t="str">
        <f>IFERROR(VLOOKUP(G394,'traspo ñ alterar'!$J$2:$M$500,4,FALSE),"")</f>
        <v/>
      </c>
      <c r="H397" s="40" t="str">
        <f>IFERROR(VLOOKUP(H394,'traspo ñ alterar'!$J$2:$M$500,4,FALSE),"")</f>
        <v/>
      </c>
      <c r="I397" s="25"/>
      <c r="J397" s="16"/>
      <c r="K397" s="16"/>
      <c r="L397" s="16"/>
    </row>
    <row r="398" ht="15.75" customHeight="1">
      <c r="A398" s="53"/>
      <c r="B398" s="41" t="str">
        <f>IFERROR(VLOOKUP(B395,'traspo ñ alterar'!$J$2:$M$500,5,FALSE),"")</f>
        <v/>
      </c>
      <c r="C398" s="42"/>
      <c r="D398" s="42"/>
      <c r="E398" s="42"/>
      <c r="F398" s="42"/>
      <c r="G398" s="42"/>
      <c r="H398" s="42"/>
      <c r="I398" s="53"/>
      <c r="J398" s="16"/>
      <c r="K398" s="16"/>
      <c r="L398" s="16"/>
    </row>
    <row r="399" ht="15.75" customHeight="1">
      <c r="A399" s="25"/>
      <c r="B399" s="37" t="str">
        <f t="array" ref="B399:H399">DiasESemanas+DATE(AnoCalendário,12,1)-WEEKDAY(DATE(AnoCalendário,12,1),(InícioDaSemana="segunda-feira")+1)+29</f>
        <v>27</v>
      </c>
      <c r="C399" s="37">
        <v>46384.0</v>
      </c>
      <c r="D399" s="37">
        <v>46385.0</v>
      </c>
      <c r="E399" s="37">
        <v>46386.0</v>
      </c>
      <c r="F399" s="37">
        <v>46387.0</v>
      </c>
      <c r="G399" s="37">
        <v>46388.0</v>
      </c>
      <c r="H399" s="37">
        <v>46389.0</v>
      </c>
      <c r="I399" s="25"/>
      <c r="J399" s="16"/>
      <c r="K399" s="16"/>
      <c r="L399" s="16"/>
    </row>
    <row r="400" ht="15.75" customHeight="1">
      <c r="A400" s="25"/>
      <c r="B400" s="39" t="str">
        <f>IFERROR(VLOOKUP(B399,'traspo ñ alterar'!$J$2:$M$500,2,FALSE),"")</f>
        <v/>
      </c>
      <c r="C400" s="40" t="str">
        <f>IFERROR(VLOOKUP(C399,'traspo ñ alterar'!$J$2:$M$500,2,FALSE),"")</f>
        <v/>
      </c>
      <c r="D400" s="40" t="str">
        <f>IFERROR(VLOOKUP(D399,'traspo ñ alterar'!$J$2:$M$500,2,FALSE),"")</f>
        <v/>
      </c>
      <c r="E400" s="40" t="str">
        <f>IFERROR(VLOOKUP(E399,'traspo ñ alterar'!$J$2:$M$500,2,FALSE),"")</f>
        <v/>
      </c>
      <c r="F400" s="40" t="str">
        <f>IFERROR(VLOOKUP(F399,'traspo ñ alterar'!$J$2:$M$500,2,FALSE),"")</f>
        <v>Reveillon cabeceira</v>
      </c>
      <c r="G400" s="60" t="str">
        <f>IFERROR(VLOOKUP(G399,'traspo ñ alterar'!$J$2:$M$500,2,FALSE),"")</f>
        <v/>
      </c>
      <c r="H400" s="60" t="str">
        <f>IFERROR(VLOOKUP(H399,'traspo ñ alterar'!$J$2:$M$500,2,FALSE),"")</f>
        <v>12 Dias de Clamor para 12 Meses de Milagres</v>
      </c>
      <c r="I400" s="25"/>
      <c r="J400" s="16"/>
      <c r="K400" s="16"/>
      <c r="L400" s="16"/>
    </row>
    <row r="401" ht="15.75" customHeight="1">
      <c r="A401" s="25"/>
      <c r="B401" s="39" t="str">
        <f>IFERROR(VLOOKUP(B399,'traspo ñ alterar'!$J$2:$M$500,3,FALSE),"")</f>
        <v/>
      </c>
      <c r="C401" s="40" t="str">
        <f>IFERROR(VLOOKUP(C399,'traspo ñ alterar'!$J$2:$M$500,3,FALSE),"")</f>
        <v/>
      </c>
      <c r="D401" s="40" t="str">
        <f>IFERROR(VLOOKUP(D399,'traspo ñ alterar'!$J$2:$M$500,3,FALSE),"")</f>
        <v/>
      </c>
      <c r="E401" s="40" t="str">
        <f>IFERROR(VLOOKUP(E399,'traspo ñ alterar'!$J$2:$M$500,3,FALSE),"")</f>
        <v/>
      </c>
      <c r="F401" s="40" t="str">
        <f>IFERROR(VLOOKUP(F399,'traspo ñ alterar'!$J$2:$M$500,3,FALSE),"")</f>
        <v/>
      </c>
      <c r="G401" s="60" t="str">
        <f>IFERROR(VLOOKUP(G399,'traspo ñ alterar'!$J$2:$M$500,3,FALSE),"")</f>
        <v/>
      </c>
      <c r="H401" s="60" t="str">
        <f>IFERROR(VLOOKUP(H399,'traspo ñ alterar'!$J$2:$M$500,3,FALSE),"")</f>
        <v/>
      </c>
      <c r="I401" s="25"/>
      <c r="J401" s="16"/>
      <c r="K401" s="16"/>
      <c r="L401" s="16"/>
    </row>
    <row r="402" ht="15.75" customHeight="1">
      <c r="A402" s="25"/>
      <c r="B402" s="39" t="str">
        <f>IFERROR(VLOOKUP(B399,'traspo ñ alterar'!$J$2:$M$500,4,FALSE),"")</f>
        <v/>
      </c>
      <c r="C402" s="40" t="str">
        <f>IFERROR(VLOOKUP(C399,'traspo ñ alterar'!$J$2:$M$500,4,FALSE),"")</f>
        <v/>
      </c>
      <c r="D402" s="40" t="str">
        <f>IFERROR(VLOOKUP(D399,'traspo ñ alterar'!$J$2:$M$500,4,FALSE),"")</f>
        <v/>
      </c>
      <c r="E402" s="40" t="str">
        <f>IFERROR(VLOOKUP(E399,'traspo ñ alterar'!$J$2:$M$500,4,FALSE),"")</f>
        <v/>
      </c>
      <c r="F402" s="40" t="str">
        <f>IFERROR(VLOOKUP(F399,'traspo ñ alterar'!$J$2:$M$500,4,FALSE),"")</f>
        <v/>
      </c>
      <c r="G402" s="60" t="str">
        <f>IFERROR(VLOOKUP(G399,'traspo ñ alterar'!$J$2:$M$500,4,FALSE),"")</f>
        <v/>
      </c>
      <c r="H402" s="60" t="str">
        <f>IFERROR(VLOOKUP(H399,'traspo ñ alterar'!$J$2:$M$500,4,FALSE),"")</f>
        <v/>
      </c>
      <c r="I402" s="25"/>
      <c r="J402" s="16"/>
      <c r="K402" s="16"/>
      <c r="L402" s="16"/>
    </row>
    <row r="403" ht="15.75" customHeight="1">
      <c r="A403" s="53"/>
      <c r="B403" s="41" t="str">
        <f>IFERROR(VLOOKUP(B400,'traspo ñ alterar'!$J$2:$M$500,5,FALSE),"")</f>
        <v/>
      </c>
      <c r="C403" s="42"/>
      <c r="D403" s="42"/>
      <c r="E403" s="42"/>
      <c r="F403" s="42"/>
      <c r="G403" s="66"/>
      <c r="H403" s="66"/>
      <c r="I403" s="53"/>
      <c r="J403" s="16"/>
      <c r="K403" s="16"/>
      <c r="L403" s="16"/>
    </row>
    <row r="404" ht="15.75" customHeight="1">
      <c r="A404" s="25"/>
      <c r="B404" s="37" t="str">
        <f t="array" ref="B404:C404">DiasESemanas+DATE(AnoCalendário,12,1)-WEEKDAY(DATE(AnoCalendário,12,1),(InícioDaSemana="segunda-feira")+1)+36</f>
        <v>3</v>
      </c>
      <c r="C404" s="37">
        <v>46391.0</v>
      </c>
      <c r="D404" s="45" t="s">
        <v>133</v>
      </c>
      <c r="E404" s="46"/>
      <c r="F404" s="46"/>
      <c r="G404" s="46"/>
      <c r="H404" s="47"/>
      <c r="I404" s="25"/>
      <c r="J404" s="16"/>
      <c r="K404" s="16"/>
      <c r="L404" s="16"/>
    </row>
    <row r="405" ht="15.75" customHeight="1">
      <c r="A405" s="25"/>
      <c r="B405" s="48" t="str">
        <f>IFERROR(VLOOKUP(B404,'traspo ñ alterar'!$J$2:$M$500,2,FALSE),"")</f>
        <v>12 Dias de Clamor para 12 Meses de Milagres</v>
      </c>
      <c r="C405" s="60" t="str">
        <f>IFERROR(VLOOKUP(C404,'traspo ñ alterar'!$J$2:$M$500,2,FALSE),"")</f>
        <v>12 Dias de Clamor para 12 Meses de Milagres</v>
      </c>
      <c r="D405" s="50"/>
      <c r="E405" s="51"/>
      <c r="F405" s="51"/>
      <c r="G405" s="51"/>
      <c r="H405" s="52"/>
      <c r="I405" s="25"/>
      <c r="J405" s="16"/>
      <c r="K405" s="16"/>
      <c r="L405" s="16"/>
    </row>
    <row r="406" ht="15.75" customHeight="1">
      <c r="A406" s="25"/>
      <c r="B406" s="48" t="str">
        <f>IFERROR(VLOOKUP(B404,'traspo ñ alterar'!$J$2:$M$500,3,FALSE),"")</f>
        <v/>
      </c>
      <c r="C406" s="60" t="str">
        <f>IFERROR(VLOOKUP(C404,'traspo ñ alterar'!$J$2:$M$500,3,FALSE),"")</f>
        <v/>
      </c>
      <c r="D406" s="50"/>
      <c r="E406" s="51"/>
      <c r="F406" s="51"/>
      <c r="G406" s="51"/>
      <c r="H406" s="52"/>
      <c r="I406" s="25"/>
      <c r="J406" s="16"/>
      <c r="K406" s="16"/>
      <c r="L406" s="16"/>
    </row>
    <row r="407" ht="15.75" customHeight="1">
      <c r="A407" s="25"/>
      <c r="B407" s="48" t="str">
        <f>IFERROR(VLOOKUP(B404,'traspo ñ alterar'!$J$2:$M$500,4,FALSE),"")</f>
        <v/>
      </c>
      <c r="C407" s="60" t="str">
        <f>IFERROR(VLOOKUP(C404,'traspo ñ alterar'!$J$2:$M$500,4,FALSE),"")</f>
        <v/>
      </c>
      <c r="D407" s="50"/>
      <c r="E407" s="51"/>
      <c r="F407" s="51"/>
      <c r="G407" s="51"/>
      <c r="H407" s="52"/>
      <c r="I407" s="25"/>
      <c r="J407" s="16"/>
      <c r="K407" s="16"/>
      <c r="L407" s="16"/>
    </row>
    <row r="408" ht="15.75" customHeight="1">
      <c r="A408" s="53"/>
      <c r="B408" s="70" t="str">
        <f>IFERROR(VLOOKUP(B405,'traspo ñ alterar'!$J$2:$M$500,5,FALSE),"")</f>
        <v/>
      </c>
      <c r="C408" s="64"/>
      <c r="D408" s="56"/>
      <c r="E408" s="57"/>
      <c r="F408" s="57"/>
      <c r="G408" s="57"/>
      <c r="H408" s="58"/>
      <c r="I408" s="53"/>
      <c r="J408" s="16"/>
      <c r="K408" s="16"/>
      <c r="L408" s="16"/>
    </row>
  </sheetData>
  <mergeCells count="37">
    <mergeCell ref="D408:H408"/>
    <mergeCell ref="D340:H340"/>
    <mergeCell ref="B343:D343"/>
    <mergeCell ref="D370:H370"/>
    <mergeCell ref="D374:H374"/>
    <mergeCell ref="B377:D377"/>
    <mergeCell ref="D404:H404"/>
    <mergeCell ref="D272:H272"/>
    <mergeCell ref="B275:D275"/>
    <mergeCell ref="D302:H302"/>
    <mergeCell ref="D306:H306"/>
    <mergeCell ref="D336:H336"/>
    <mergeCell ref="B206:D206"/>
    <mergeCell ref="D234:H234"/>
    <mergeCell ref="D238:H238"/>
    <mergeCell ref="B241:D241"/>
    <mergeCell ref="D268:H268"/>
    <mergeCell ref="B309:D309"/>
    <mergeCell ref="D131:H131"/>
    <mergeCell ref="D135:H135"/>
    <mergeCell ref="D199:H199"/>
    <mergeCell ref="D165:H165"/>
    <mergeCell ref="D169:H169"/>
    <mergeCell ref="D67:H67"/>
    <mergeCell ref="D63:H63"/>
    <mergeCell ref="B2:D2"/>
    <mergeCell ref="K3:L3"/>
    <mergeCell ref="D29:H29"/>
    <mergeCell ref="D33:H33"/>
    <mergeCell ref="B36:D36"/>
    <mergeCell ref="D203:H203"/>
    <mergeCell ref="B70:D70"/>
    <mergeCell ref="D97:H97"/>
    <mergeCell ref="D101:H101"/>
    <mergeCell ref="B104:D104"/>
    <mergeCell ref="B138:D138"/>
    <mergeCell ref="B172:D172"/>
  </mergeCells>
  <conditionalFormatting sqref="B63:C66">
    <cfRule type="expression" dxfId="3" priority="1">
      <formula>AND(DAY(B63)&gt;=1,DAY(B63)&lt;=15)</formula>
    </cfRule>
  </conditionalFormatting>
  <conditionalFormatting sqref="B97:C100">
    <cfRule type="expression" dxfId="3" priority="2">
      <formula>AND(DAY(B97)&gt;=1,DAY(B97)&lt;=15)</formula>
    </cfRule>
  </conditionalFormatting>
  <conditionalFormatting sqref="B131:C134">
    <cfRule type="expression" dxfId="3" priority="3">
      <formula>AND(DAY(B131)&gt;=1,DAY(B131)&lt;=15)</formula>
    </cfRule>
  </conditionalFormatting>
  <conditionalFormatting sqref="B165:C168">
    <cfRule type="expression" dxfId="3" priority="4">
      <formula>AND(DAY(B165)&gt;=1,DAY(B165)&lt;=15)</formula>
    </cfRule>
  </conditionalFormatting>
  <conditionalFormatting sqref="B199:C202">
    <cfRule type="expression" dxfId="3" priority="5">
      <formula>AND(DAY(B199)&gt;=1,DAY(B199)&lt;=15)</formula>
    </cfRule>
  </conditionalFormatting>
  <conditionalFormatting sqref="B234:C237">
    <cfRule type="expression" dxfId="3" priority="6">
      <formula>AND(DAY(B234)&gt;=1,DAY(B234)&lt;=15)</formula>
    </cfRule>
  </conditionalFormatting>
  <conditionalFormatting sqref="B268:C271">
    <cfRule type="expression" dxfId="3" priority="7">
      <formula>AND(DAY(B268)&gt;=1,DAY(B268)&lt;=15)</formula>
    </cfRule>
  </conditionalFormatting>
  <conditionalFormatting sqref="B302:C305">
    <cfRule type="expression" dxfId="3" priority="8">
      <formula>AND(DAY(B302)&gt;=1,DAY(B302)&lt;=15)</formula>
    </cfRule>
  </conditionalFormatting>
  <conditionalFormatting sqref="B336:C339">
    <cfRule type="expression" dxfId="3" priority="9">
      <formula>AND(DAY(B336)&gt;=1,DAY(B336)&lt;=15)</formula>
    </cfRule>
  </conditionalFormatting>
  <conditionalFormatting sqref="B370:C373">
    <cfRule type="expression" dxfId="3" priority="10">
      <formula>AND(DAY(B370)&gt;=1,DAY(B370)&lt;=15)</formula>
    </cfRule>
  </conditionalFormatting>
  <conditionalFormatting sqref="B404:C407">
    <cfRule type="expression" dxfId="3" priority="11">
      <formula>AND(DAY(B404)&gt;=1,DAY(B404)&lt;=15)</formula>
    </cfRule>
  </conditionalFormatting>
  <conditionalFormatting sqref="B4:G8">
    <cfRule type="expression" dxfId="3" priority="12">
      <formula>DAY(B4)&gt;8</formula>
    </cfRule>
  </conditionalFormatting>
  <conditionalFormatting sqref="B38:G38">
    <cfRule type="expression" dxfId="3" priority="13">
      <formula>DAY(B38)&gt;8</formula>
    </cfRule>
  </conditionalFormatting>
  <conditionalFormatting sqref="B72:G72">
    <cfRule type="expression" dxfId="3" priority="14">
      <formula>DAY(B72)&gt;8</formula>
    </cfRule>
  </conditionalFormatting>
  <conditionalFormatting sqref="B106:G106">
    <cfRule type="expression" dxfId="3" priority="15">
      <formula>DAY(B106)&gt;8</formula>
    </cfRule>
  </conditionalFormatting>
  <conditionalFormatting sqref="B140:G140">
    <cfRule type="expression" dxfId="3" priority="16">
      <formula>DAY(B140)&gt;8</formula>
    </cfRule>
  </conditionalFormatting>
  <conditionalFormatting sqref="B174:G174">
    <cfRule type="expression" dxfId="3" priority="17">
      <formula>DAY(B174)&gt;8</formula>
    </cfRule>
  </conditionalFormatting>
  <conditionalFormatting sqref="B208:G208">
    <cfRule type="expression" dxfId="3" priority="18">
      <formula>DAY(B208)&gt;8</formula>
    </cfRule>
  </conditionalFormatting>
  <conditionalFormatting sqref="B243:G243">
    <cfRule type="expression" dxfId="3" priority="19">
      <formula>DAY(B243)&gt;8</formula>
    </cfRule>
  </conditionalFormatting>
  <conditionalFormatting sqref="B277:G277">
    <cfRule type="expression" dxfId="3" priority="20">
      <formula>DAY(B277)&gt;8</formula>
    </cfRule>
  </conditionalFormatting>
  <conditionalFormatting sqref="B311:G311">
    <cfRule type="expression" dxfId="3" priority="21">
      <formula>DAY(B311)&gt;8</formula>
    </cfRule>
  </conditionalFormatting>
  <conditionalFormatting sqref="B345:G345">
    <cfRule type="expression" dxfId="3" priority="22">
      <formula>DAY(B345)&gt;8</formula>
    </cfRule>
  </conditionalFormatting>
  <conditionalFormatting sqref="B379:G379">
    <cfRule type="expression" dxfId="3" priority="23">
      <formula>DAY(B379)&gt;8</formula>
    </cfRule>
  </conditionalFormatting>
  <conditionalFormatting sqref="B24:H28 B29:C32">
    <cfRule type="expression" dxfId="3" priority="24">
      <formula>AND(DAY(B24)&gt;=1,DAY(B24)&lt;=15)</formula>
    </cfRule>
  </conditionalFormatting>
  <conditionalFormatting sqref="B39:H42">
    <cfRule type="expression" dxfId="3" priority="25">
      <formula>AND(DAY(B39)&gt;=1,DAY(B39)&lt;=15)</formula>
    </cfRule>
  </conditionalFormatting>
  <conditionalFormatting sqref="B44:H47">
    <cfRule type="expression" dxfId="3" priority="26">
      <formula>AND(DAY(B44)&gt;=1,DAY(B44)&lt;=15)</formula>
    </cfRule>
  </conditionalFormatting>
  <conditionalFormatting sqref="B49:H52">
    <cfRule type="expression" dxfId="3" priority="27">
      <formula>AND(DAY(B49)&gt;=1,DAY(B49)&lt;=15)</formula>
    </cfRule>
  </conditionalFormatting>
  <conditionalFormatting sqref="B54:H62">
    <cfRule type="expression" dxfId="3" priority="28">
      <formula>AND(DAY(B54)&gt;=1,DAY(B54)&lt;=15)</formula>
    </cfRule>
  </conditionalFormatting>
  <conditionalFormatting sqref="B73:H76">
    <cfRule type="expression" dxfId="3" priority="29">
      <formula>AND(DAY(B73)&gt;=1,DAY(B73)&lt;=15)</formula>
    </cfRule>
  </conditionalFormatting>
  <conditionalFormatting sqref="B78:H81">
    <cfRule type="expression" dxfId="3" priority="30">
      <formula>AND(DAY(B78)&gt;=1,DAY(B78)&lt;=15)</formula>
    </cfRule>
  </conditionalFormatting>
  <conditionalFormatting sqref="B83:H86">
    <cfRule type="expression" dxfId="3" priority="31">
      <formula>AND(DAY(B83)&gt;=1,DAY(B83)&lt;=15)</formula>
    </cfRule>
  </conditionalFormatting>
  <conditionalFormatting sqref="B88:H96">
    <cfRule type="expression" dxfId="3" priority="32">
      <formula>AND(DAY(B88)&gt;=1,DAY(B88)&lt;=15)</formula>
    </cfRule>
  </conditionalFormatting>
  <conditionalFormatting sqref="B107:H110">
    <cfRule type="expression" dxfId="3" priority="33">
      <formula>AND(DAY(B107)&gt;=1,DAY(B107)&lt;=15)</formula>
    </cfRule>
  </conditionalFormatting>
  <conditionalFormatting sqref="B112:H115">
    <cfRule type="expression" dxfId="3" priority="34">
      <formula>AND(DAY(B112)&gt;=1,DAY(B112)&lt;=15)</formula>
    </cfRule>
  </conditionalFormatting>
  <conditionalFormatting sqref="B117:H120">
    <cfRule type="expression" dxfId="3" priority="35">
      <formula>AND(DAY(B117)&gt;=1,DAY(B117)&lt;=15)</formula>
    </cfRule>
  </conditionalFormatting>
  <conditionalFormatting sqref="B122:H130">
    <cfRule type="expression" dxfId="3" priority="36">
      <formula>AND(DAY(B122)&gt;=1,DAY(B122)&lt;=15)</formula>
    </cfRule>
  </conditionalFormatting>
  <conditionalFormatting sqref="B141:H144">
    <cfRule type="expression" dxfId="3" priority="37">
      <formula>AND(DAY(B141)&gt;=1,DAY(B141)&lt;=15)</formula>
    </cfRule>
  </conditionalFormatting>
  <conditionalFormatting sqref="B146:H149">
    <cfRule type="expression" dxfId="3" priority="38">
      <formula>AND(DAY(B146)&gt;=1,DAY(B146)&lt;=15)</formula>
    </cfRule>
  </conditionalFormatting>
  <conditionalFormatting sqref="B151:H154">
    <cfRule type="expression" dxfId="3" priority="39">
      <formula>AND(DAY(B151)&gt;=1,DAY(B151)&lt;=15)</formula>
    </cfRule>
  </conditionalFormatting>
  <conditionalFormatting sqref="B156:H164">
    <cfRule type="expression" dxfId="3" priority="40">
      <formula>AND(DAY(B156)&gt;=1,DAY(B156)&lt;=15)</formula>
    </cfRule>
  </conditionalFormatting>
  <conditionalFormatting sqref="B175:H178">
    <cfRule type="expression" dxfId="3" priority="41">
      <formula>AND(DAY(B175)&gt;=1,DAY(B175)&lt;=15)</formula>
    </cfRule>
  </conditionalFormatting>
  <conditionalFormatting sqref="B180:H183">
    <cfRule type="expression" dxfId="3" priority="42">
      <formula>AND(DAY(B180)&gt;=1,DAY(B180)&lt;=15)</formula>
    </cfRule>
  </conditionalFormatting>
  <conditionalFormatting sqref="B185:H188">
    <cfRule type="expression" dxfId="3" priority="43">
      <formula>AND(DAY(B185)&gt;=1,DAY(B185)&lt;=15)</formula>
    </cfRule>
  </conditionalFormatting>
  <conditionalFormatting sqref="B190:H198">
    <cfRule type="expression" dxfId="3" priority="44">
      <formula>AND(DAY(B190)&gt;=1,DAY(B190)&lt;=15)</formula>
    </cfRule>
  </conditionalFormatting>
  <conditionalFormatting sqref="B209:H212">
    <cfRule type="expression" dxfId="3" priority="45">
      <formula>AND(DAY(B209)&gt;=1,DAY(B209)&lt;=15)</formula>
    </cfRule>
  </conditionalFormatting>
  <conditionalFormatting sqref="B214:H217">
    <cfRule type="expression" dxfId="3" priority="46">
      <formula>AND(DAY(B214)&gt;=1,DAY(B214)&lt;=15)</formula>
    </cfRule>
  </conditionalFormatting>
  <conditionalFormatting sqref="B219:H222">
    <cfRule type="expression" dxfId="3" priority="47">
      <formula>AND(DAY(B219)&gt;=1,DAY(B219)&lt;=15)</formula>
    </cfRule>
  </conditionalFormatting>
  <conditionalFormatting sqref="B225:H233">
    <cfRule type="expression" dxfId="3" priority="48">
      <formula>AND(DAY(B225)&gt;=1,DAY(B225)&lt;=15)</formula>
    </cfRule>
  </conditionalFormatting>
  <conditionalFormatting sqref="B244:H247">
    <cfRule type="expression" dxfId="3" priority="49">
      <formula>AND(DAY(B244)&gt;=1,DAY(B244)&lt;=15)</formula>
    </cfRule>
  </conditionalFormatting>
  <conditionalFormatting sqref="B249:H252">
    <cfRule type="expression" dxfId="3" priority="50">
      <formula>AND(DAY(B249)&gt;=1,DAY(B249)&lt;=15)</formula>
    </cfRule>
  </conditionalFormatting>
  <conditionalFormatting sqref="B254:H257">
    <cfRule type="expression" dxfId="3" priority="51">
      <formula>AND(DAY(B254)&gt;=1,DAY(B254)&lt;=15)</formula>
    </cfRule>
  </conditionalFormatting>
  <conditionalFormatting sqref="B259:H267">
    <cfRule type="expression" dxfId="3" priority="52">
      <formula>AND(DAY(B259)&gt;=1,DAY(B259)&lt;=15)</formula>
    </cfRule>
  </conditionalFormatting>
  <conditionalFormatting sqref="B278:H281">
    <cfRule type="expression" dxfId="3" priority="53">
      <formula>AND(DAY(B278)&gt;=1,DAY(B278)&lt;=15)</formula>
    </cfRule>
  </conditionalFormatting>
  <conditionalFormatting sqref="B283:H286">
    <cfRule type="expression" dxfId="3" priority="54">
      <formula>AND(DAY(B283)&gt;=1,DAY(B283)&lt;=15)</formula>
    </cfRule>
  </conditionalFormatting>
  <conditionalFormatting sqref="B288:H291">
    <cfRule type="expression" dxfId="3" priority="55">
      <formula>AND(DAY(B288)&gt;=1,DAY(B288)&lt;=15)</formula>
    </cfRule>
  </conditionalFormatting>
  <conditionalFormatting sqref="B293:H301">
    <cfRule type="expression" dxfId="3" priority="56">
      <formula>AND(DAY(B293)&gt;=1,DAY(B293)&lt;=15)</formula>
    </cfRule>
  </conditionalFormatting>
  <conditionalFormatting sqref="B312:H315">
    <cfRule type="expression" dxfId="3" priority="57">
      <formula>AND(DAY(B312)&gt;=1,DAY(B312)&lt;=15)</formula>
    </cfRule>
  </conditionalFormatting>
  <conditionalFormatting sqref="B317:H320">
    <cfRule type="expression" dxfId="3" priority="58">
      <formula>AND(DAY(B317)&gt;=1,DAY(B317)&lt;=15)</formula>
    </cfRule>
  </conditionalFormatting>
  <conditionalFormatting sqref="B322:H325">
    <cfRule type="expression" dxfId="3" priority="59">
      <formula>AND(DAY(B322)&gt;=1,DAY(B322)&lt;=15)</formula>
    </cfRule>
  </conditionalFormatting>
  <conditionalFormatting sqref="B327:H335">
    <cfRule type="expression" dxfId="3" priority="60">
      <formula>AND(DAY(B327)&gt;=1,DAY(B327)&lt;=15)</formula>
    </cfRule>
  </conditionalFormatting>
  <conditionalFormatting sqref="B346:H349">
    <cfRule type="expression" dxfId="3" priority="61">
      <formula>AND(DAY(B346)&gt;=1,DAY(B346)&lt;=15)</formula>
    </cfRule>
  </conditionalFormatting>
  <conditionalFormatting sqref="B351:H354">
    <cfRule type="expression" dxfId="3" priority="62">
      <formula>AND(DAY(B351)&gt;=1,DAY(B351)&lt;=15)</formula>
    </cfRule>
  </conditionalFormatting>
  <conditionalFormatting sqref="B356:H359">
    <cfRule type="expression" dxfId="3" priority="63">
      <formula>AND(DAY(B356)&gt;=1,DAY(B356)&lt;=15)</formula>
    </cfRule>
  </conditionalFormatting>
  <conditionalFormatting sqref="B361:H369">
    <cfRule type="expression" dxfId="3" priority="64">
      <formula>AND(DAY(B361)&gt;=1,DAY(B361)&lt;=15)</formula>
    </cfRule>
  </conditionalFormatting>
  <conditionalFormatting sqref="B380:H383">
    <cfRule type="expression" dxfId="3" priority="65">
      <formula>AND(DAY(B380)&gt;=1,DAY(B380)&lt;=15)</formula>
    </cfRule>
  </conditionalFormatting>
  <conditionalFormatting sqref="B385:H388">
    <cfRule type="expression" dxfId="3" priority="66">
      <formula>AND(DAY(B385)&gt;=1,DAY(B385)&lt;=15)</formula>
    </cfRule>
  </conditionalFormatting>
  <conditionalFormatting sqref="B390:H393">
    <cfRule type="expression" dxfId="3" priority="67">
      <formula>AND(DAY(B390)&gt;=1,DAY(B390)&lt;=15)</formula>
    </cfRule>
  </conditionalFormatting>
  <conditionalFormatting sqref="B395:H403">
    <cfRule type="expression" dxfId="3" priority="68">
      <formula>AND(DAY(B395)&gt;=1,DAY(B395)&lt;=15)</formula>
    </cfRule>
  </conditionalFormatting>
  <dataValidations>
    <dataValidation type="list" allowBlank="1" showInputMessage="1" prompt="Selecione o dia do início da semana nesta célula. Pressione ALT+SETA PARA BAIXO para abrir a lista suspensa, pressione SETA PARA BAIXO e ENTER para selecionar" sqref="L5">
      <formula1>"domingo,segunda-feira"</formula1>
    </dataValidation>
  </dataValidations>
  <printOptions verticalCentered="1"/>
  <pageMargins bottom="0.0" footer="0.0" header="0.0" left="0.6299212598425197" right="0.2362204724409449" top="0.03937007874015748"/>
  <pageSetup paperSize="9" orientation="landscape"/>
  <rowBreaks count="11" manualBreakCount="11">
    <brk id="273" man="1"/>
    <brk id="34" man="1"/>
    <brk id="307" man="1"/>
    <brk id="68" man="1"/>
    <brk id="341" man="1"/>
    <brk id="102" man="1"/>
    <brk id="375" man="1"/>
    <brk id="136" man="1"/>
    <brk id="170" man="1"/>
    <brk id="204" man="1"/>
    <brk id="23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4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baseType="lpstr" size="6">
      <vt:lpstr>traspo ñ alterar</vt:lpstr>
      <vt:lpstr>Calendario</vt:lpstr>
      <vt:lpstr>calendario impre</vt:lpstr>
      <vt:lpstr>AnoCalendário</vt:lpstr>
      <vt:lpstr>'calendario impre'!Area_de_impressao</vt:lpstr>
      <vt:lpstr>InícioDaSemana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2025-09-28T18:13:31Z</dcterms:created>
  <dc:creator>User</dc:creator>
  <dc:description/>
  <cp:keywords/>
  <cp:lastModifiedBy>Adm</cp:lastModifiedBy>
  <cp:lastPrinted>2026-06-21T21:02:07Z</cp:lastPrinted>
  <dcterms:modified xsi:type="dcterms:W3CDTF">2026-06-21T21:02:18Z</dcterms:modified>
  <cp:revision/>
  <dc:subject/>
  <dc:title/>
</cp:coreProperties>
</file>